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terangan" sheetId="1" state="visible" r:id="rId3"/>
    <sheet name="Kamus_Kode" sheetId="2" state="visible" r:id="rId4"/>
    <sheet name="Lembar_Pengodean" sheetId="3" state="visible" r:id="rId5"/>
    <sheet name="Rekap_Kappa" sheetId="4" state="visible" r:id="rId6"/>
  </sheets>
  <definedNames>
    <definedName function="false" hidden="false" localSheetId="1" name="_xlnm.Print_Titles" vbProcedure="false">Kamus_Kode!$4:$4</definedName>
    <definedName function="false" hidden="false" localSheetId="2" name="_xlnm.Print_Titles" vbProcedure="false">Lembar_Pengodean!$1:$1</definedName>
    <definedName function="false" hidden="true" localSheetId="2" name="_xlnm._FilterDatabase" vbProcedure="false">Lembar_Pengodean!$A$1:$U$49</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Nomor unit. Diisi peneliti utama.</t>
        </r>
      </text>
    </comment>
    <comment ref="B1" authorId="0">
      <text>
        <r>
          <rPr>
            <sz val="10"/>
            <rFont val="Arial"/>
            <family val="2"/>
          </rPr>
          <t xml:space="preserve">P1 untuk pengodean pertama. Final hanya untuk baris hasil kesepakatan. Diisi peneliti utama.</t>
        </r>
      </text>
    </comment>
    <comment ref="C1" authorId="0">
      <text>
        <r>
          <rPr>
            <sz val="10"/>
            <rFont val="Arial"/>
            <family val="2"/>
          </rPr>
          <t xml:space="preserve">Tulis nama Anda di semua baris pada blok Anda.</t>
        </r>
      </text>
    </comment>
    <comment ref="D1" authorId="0">
      <text>
        <r>
          <rPr>
            <sz val="10"/>
            <rFont val="Arial"/>
            <family val="2"/>
          </rPr>
          <t xml:space="preserve">Artikel yang sedang dikode. Diisi peneliti utama.</t>
        </r>
      </text>
    </comment>
    <comment ref="E1" authorId="0">
      <text>
        <r>
          <rPr>
            <sz val="10"/>
            <rFont val="Arial"/>
            <family val="2"/>
          </rPr>
          <t xml:space="preserve">Nama fitur sesuai tulisan artikel beserta letaknya. Diisi peneliti utama dan tidak boleh diubah.</t>
        </r>
      </text>
    </comment>
    <comment ref="F1" authorId="0">
      <text>
        <r>
          <rPr>
            <sz val="10"/>
            <rFont val="Arial"/>
            <family val="2"/>
          </rPr>
          <t xml:space="preserve">Jenis fitur. Diisi peneliti utama dan tidak boleh diubah.</t>
        </r>
      </text>
    </comment>
    <comment ref="G1" authorId="0">
      <text>
        <r>
          <rPr>
            <sz val="10"/>
            <rFont val="Arial"/>
            <family val="2"/>
          </rPr>
          <t xml:space="preserve">Tabel Sumber. Dari tabel OULAD mana fitur diambil? Pilih dari daftar. Arti lengkap ada di Kamus_Kode.</t>
        </r>
      </text>
    </comment>
    <comment ref="H1" authorId="0">
      <text>
        <r>
          <rPr>
            <sz val="10"/>
            <rFont val="Arial"/>
            <family val="2"/>
          </rPr>
          <t xml:space="preserve">Salin kalimat dari artikel apa adanya, paling banyak 25 kata, sebagai bukti kode Tabel Sumber. Isi tanda hubung (-) bila artikel tidak membahasnya. Cari kutipan dulu, baru pilih kode.</t>
        </r>
      </text>
    </comment>
    <comment ref="I1" authorId="0">
      <text>
        <r>
          <rPr>
            <sz val="10"/>
            <rFont val="Arial"/>
            <family val="2"/>
          </rPr>
          <t xml:space="preserve">Formula Agregasi. Apakah cara menghitung fitur dijelaskan? Pilih dari daftar. Arti lengkap ada di Kamus_Kode.</t>
        </r>
      </text>
    </comment>
    <comment ref="J1" authorId="0">
      <text>
        <r>
          <rPr>
            <sz val="10"/>
            <rFont val="Arial"/>
            <family val="2"/>
          </rPr>
          <t xml:space="preserve">Salin kalimat dari artikel apa adanya, paling banyak 25 kata, sebagai bukti kode Formula Agregasi. Isi tanda hubung (-) bila artikel tidak membahasnya. Cari kutipan dulu, baru pilih kode.</t>
        </r>
      </text>
    </comment>
    <comment ref="K1" authorId="0">
      <text>
        <r>
          <rPr>
            <sz val="10"/>
            <rFont val="Arial"/>
            <family val="2"/>
          </rPr>
          <t xml:space="preserve">Jendela Pengamatan. Rentang waktu data mana yang dipakai? Pilih dari daftar. Arti lengkap ada di Kamus_Kode.</t>
        </r>
      </text>
    </comment>
    <comment ref="L1" authorId="0">
      <text>
        <r>
          <rPr>
            <sz val="10"/>
            <rFont val="Arial"/>
            <family val="2"/>
          </rPr>
          <t xml:space="preserve">Salin kalimat dari artikel apa adanya, paling banyak 25 kata, sebagai bukti kode Jendela Pengamatan. Isi tanda hubung (-) bila artikel tidak membahasnya. Cari kutipan dulu, baru pilih kode.</t>
        </r>
      </text>
    </comment>
    <comment ref="M1" authorId="0">
      <text>
        <r>
          <rPr>
            <sz val="10"/>
            <rFont val="Arial"/>
            <family val="2"/>
          </rPr>
          <t xml:space="preserve">Normalisasi. Apakah skala angka fitur diubah? Pilih dari daftar. Arti lengkap ada di Kamus_Kode.</t>
        </r>
      </text>
    </comment>
    <comment ref="N1" authorId="0">
      <text>
        <r>
          <rPr>
            <sz val="10"/>
            <rFont val="Arial"/>
            <family val="2"/>
          </rPr>
          <t xml:space="preserve">Salin kalimat dari artikel apa adanya, paling banyak 25 kata, sebagai bukti kode Normalisasi. Isi tanda hubung (-) bila artikel tidak membahasnya. Cari kutipan dulu, baru pilih kode.</t>
        </r>
      </text>
    </comment>
    <comment ref="O1" authorId="0">
      <text>
        <r>
          <rPr>
            <sz val="10"/>
            <rFont val="Arial"/>
            <family val="2"/>
          </rPr>
          <t xml:space="preserve">Nilai Kosong. Bagaimana data kosong ditangani? Pilih dari daftar. Arti lengkap ada di Kamus_Kode.</t>
        </r>
      </text>
    </comment>
    <comment ref="P1" authorId="0">
      <text>
        <r>
          <rPr>
            <sz val="10"/>
            <rFont val="Arial"/>
            <family val="2"/>
          </rPr>
          <t xml:space="preserve">Salin kalimat dari artikel apa adanya, paling banyak 25 kata, sebagai bukti kode Nilai Kosong. Isi tanda hubung (-) bila artikel tidak membahasnya. Cari kutipan dulu, baru pilih kode.</t>
        </r>
      </text>
    </comment>
    <comment ref="Q1" authorId="0">
      <text>
        <r>
          <rPr>
            <sz val="10"/>
            <rFont val="Arial"/>
            <family val="2"/>
          </rPr>
          <t xml:space="preserve">Ketersediaan Temporal. Apakah fitur hanya memakai data sampai waktu prediksi? Pilih dari daftar. Arti lengkap ada di Kamus_Kode.</t>
        </r>
      </text>
    </comment>
    <comment ref="R1" authorId="0">
      <text>
        <r>
          <rPr>
            <sz val="10"/>
            <rFont val="Arial"/>
            <family val="2"/>
          </rPr>
          <t xml:space="preserve">Salin kalimat dari artikel apa adanya, paling banyak 25 kata, sebagai bukti kode Ketersediaan Temporal. Isi tanda hubung (-) bila artikel tidak membahasnya. Cari kutipan dulu, baru pilih kode.</t>
        </r>
      </text>
    </comment>
    <comment ref="S1" authorId="0">
      <text>
        <r>
          <rPr>
            <sz val="10"/>
            <rFont val="Arial"/>
            <family val="2"/>
          </rPr>
          <t xml:space="preserve">Halaman dan nama bagian artikel tempat kutipan diambil. Contoh: Halaman 6, bagian Feature extraction.</t>
        </r>
      </text>
    </comment>
    <comment ref="T1" authorId="0">
      <text>
        <r>
          <rPr>
            <sz val="10"/>
            <rFont val="Arial"/>
            <family val="2"/>
          </rPr>
          <t xml:space="preserve">Terverifikasi bila halaman sudah dicek langsung. Perkiraan bila belum pasti.</t>
        </r>
      </text>
    </comment>
    <comment ref="U1" authorId="0">
      <text>
        <r>
          <rPr>
            <sz val="10"/>
            <rFont val="Arial"/>
            <family val="2"/>
          </rPr>
          <t xml:space="preserve">Tulis alasan, dugaan, dan keraguan di sini. Awali setiap catatan dengan nama dimensinya. Contoh: Normalisasi. Artikel hanya menyebut ...</t>
        </r>
      </text>
    </comment>
  </commentList>
</comments>
</file>

<file path=xl/sharedStrings.xml><?xml version="1.0" encoding="utf-8"?>
<sst xmlns="http://schemas.openxmlformats.org/spreadsheetml/2006/main" count="1274" uniqueCount="371">
  <si>
    <t xml:space="preserve">LEMBAR PENGODEAN DEFINISI FITUR PADA PENELITIAN TERDAHULU BERBASIS OULAD</t>
  </si>
  <si>
    <t xml:space="preserve">Berkas ini memuat instrumen dan hasil observasi terstruktur terhadap enam penelitian terdahulu berbasis OULAD. Setiap fitur yang dikode disebut unit. Setiap unit dikode oleh dua pengode secara terpisah pada enam dimensi, lalu ketidaksepakatan diselesaikan melalui adjudikasi. Isi berkas ini dimuat pada Lampiran A naskah skripsi, dan aturan pengisiannya dimuat pada dokumen Pedoman Pengodean.</t>
  </si>
  <si>
    <t xml:space="preserve">Sheet</t>
  </si>
  <si>
    <t xml:space="preserve">Isi</t>
  </si>
  <si>
    <t xml:space="preserve">Kamus_Kode</t>
  </si>
  <si>
    <t xml:space="preserve">Daftar kode tertutup untuk setiap dimensi beserta pertanyaan pemandu dan aturan keputusan. Kamus ini ditetapkan sebelum pengodean dimulai.</t>
  </si>
  <si>
    <t xml:space="preserve">Lembar_Pengodean</t>
  </si>
  <si>
    <t xml:space="preserve">Kode, kutipan verbatim, rujukan halaman, dan catatan untuk 16 unit. Baris 2 sampai 17 adalah pengode pertama, baris 18 sampai 33 adalah pengode kedua, keduanya pada putaran P1. Baris 34 sampai 49 adalah kode final hasil adjudikasi.</t>
  </si>
  <si>
    <t xml:space="preserve">Rekap_Kappa</t>
  </si>
  <si>
    <t xml:space="preserve">Persen kesepakatan dan kappa Cohen per dimensi yang dihitung otomatis dari baris putaran P1, beserta hasil aturan ambang ganda (nilai tengah kappa di atas 0,70 dan kappa terendah di atas 0,60).</t>
  </si>
  <si>
    <t xml:space="preserve">Warna sel</t>
  </si>
  <si>
    <t xml:space="preserve">Arti</t>
  </si>
  <si>
    <t xml:space="preserve">Abu-abu</t>
  </si>
  <si>
    <t xml:space="preserve">Kolom yang diisi peneliti utama sebelum pengodean, yaitu identitas unit, nama fitur, dan kode konsep.</t>
  </si>
  <si>
    <t xml:space="preserve">Kuning</t>
  </si>
  <si>
    <t xml:space="preserve">Kolom yang diisi pengode, yaitu kode, kutipan, rujukan halaman, status rujukan, dan catatan.</t>
  </si>
  <si>
    <t xml:space="preserve">Catatan</t>
  </si>
  <si>
    <t xml:space="preserve">Kutipan ditulis sesuai bahasa asli artikel. Tanda hubung (-) pada kolom kutipan berarti artikel tidak memuat kalimat yang dapat dikutip untuk dimensi tersebut. Urutan baris tidak boleh diubah karena rumus pada Rekap_Kappa mengandalkan posisi baris.</t>
  </si>
  <si>
    <t xml:space="preserve">KAMUS KODE</t>
  </si>
  <si>
    <t xml:space="preserve">Cara pakai: Cari dimensi yang sedang diisi, baca pertanyaan pemandu pada baris biru, lalu pilih kode yang paling sesuai dengan kutipan. Baris hijau berisi cara memutuskan. Nomor yang dilewati, misalnya T6 dan T7, memang tidak dipakai.</t>
  </si>
  <si>
    <t xml:space="preserve">Dimensi</t>
  </si>
  <si>
    <t xml:space="preserve">Kolom pada Lembar_Pengodean</t>
  </si>
  <si>
    <t xml:space="preserve">Kode</t>
  </si>
  <si>
    <t xml:space="preserve">Arti singkat</t>
  </si>
  <si>
    <t xml:space="preserve">Pilih kode ini bila</t>
  </si>
  <si>
    <t xml:space="preserve">Konsep Fitur</t>
  </si>
  <si>
    <t xml:space="preserve">Kode_Konsep</t>
  </si>
  <si>
    <t xml:space="preserve">K1</t>
  </si>
  <si>
    <t xml:space="preserve">Aktivitas di platform belajar</t>
  </si>
  <si>
    <t xml:space="preserve">Fitur berasal dari kegiatan mahasiswa di platform belajar daring, misalnya jumlah klik, jumlah hari aktif, atau jumlah sesi.</t>
  </si>
  <si>
    <t xml:space="preserve">K2</t>
  </si>
  <si>
    <t xml:space="preserve">Nilai tugas atau ujian</t>
  </si>
  <si>
    <t xml:space="preserve">Fitur berasal dari angka nilai tugas atau ujian yang sudah diperoleh mahasiswa.</t>
  </si>
  <si>
    <t xml:space="preserve">K3</t>
  </si>
  <si>
    <t xml:space="preserve">Status atau waktu pengumpulan</t>
  </si>
  <si>
    <t xml:space="preserve">Fitur berasal dari dikumpulkan atau tidaknya tugas, atau kapan tugas dikumpulkan, bukan dari angka nilainya.</t>
  </si>
  <si>
    <t xml:space="preserve">Aturan keputusan</t>
  </si>
  <si>
    <t xml:space="preserve">Kode_Konsep sudah diisi peneliti utama. Pengode tidak mengubahnya. Daftar di atas hanya untuk dibaca.</t>
  </si>
  <si>
    <t xml:space="preserve">Pertanyaan pemandu</t>
  </si>
  <si>
    <t xml:space="preserve">Apakah artikel menyebut nama tabel OULAD yang dipakai untuk membuat fitur ini?</t>
  </si>
  <si>
    <t xml:space="preserve">Tabel Sumber</t>
  </si>
  <si>
    <t xml:space="preserve">Kode_TabelSumber</t>
  </si>
  <si>
    <t xml:space="preserve">T1</t>
  </si>
  <si>
    <t xml:space="preserve">Hanya studentVle</t>
  </si>
  <si>
    <t xml:space="preserve">Artikel menyebut nama tabel studentVle sebagai satu-satunya sumber fitur.</t>
  </si>
  <si>
    <t xml:space="preserve">T2</t>
  </si>
  <si>
    <t xml:space="preserve">studentVle dan vle</t>
  </si>
  <si>
    <t xml:space="preserve">Artikel menyebut kedua nama tabel. Biasanya karena fitur memerlukan jenis aktivitas, misalnya klik pada kuis.</t>
  </si>
  <si>
    <t xml:space="preserve">T3</t>
  </si>
  <si>
    <t xml:space="preserve">Hanya studentAssessment</t>
  </si>
  <si>
    <t xml:space="preserve">Artikel menyebut nama tabel studentAssessment sebagai satu-satunya sumber fitur.</t>
  </si>
  <si>
    <t xml:space="preserve">T4</t>
  </si>
  <si>
    <t xml:space="preserve">assessments dan studentAssessment</t>
  </si>
  <si>
    <t xml:space="preserve">Artikel menyebut kedua nama tabel. Biasanya karena fitur memerlukan tenggat atau bobot tugas.</t>
  </si>
  <si>
    <t xml:space="preserve">T5</t>
  </si>
  <si>
    <t xml:space="preserve">Gabungan tabel aktivitas dan penilaian</t>
  </si>
  <si>
    <t xml:space="preserve">Artikel menyebut tabel aktivitas (studentVle atau vle) dan tabel penilaian (studentAssessment atau assessments) sekaligus untuk satu fitur.</t>
  </si>
  <si>
    <t xml:space="preserve">T8</t>
  </si>
  <si>
    <t xml:space="preserve">Sumber disebut tanpa nama tabel</t>
  </si>
  <si>
    <t xml:space="preserve">Artikel hanya memakai istilah umum, misalnya clickstream data atau data e-learning.</t>
  </si>
  <si>
    <t xml:space="preserve">T9</t>
  </si>
  <si>
    <t xml:space="preserve">Sumber tidak disebut</t>
  </si>
  <si>
    <t xml:space="preserve">Artikel tidak menyebut sumber data fitur sama sekali. Nama tabel hanya bisa ditebak sendiri.</t>
  </si>
  <si>
    <t xml:space="preserve">Lihat hanya nama tabel yang tertulis di artikel. Bila harus menebak sendiri tabel mana yang dipakai, pilih T8 atau T9, lalu tulis tebakan itu di Catatan_Pengode.</t>
  </si>
  <si>
    <t xml:space="preserve">Bisakah seorang pemrogram menulis kode penghitung fitur ini hanya dari penjelasan artikel, tanpa menentukan sendiri satu pun angka atau aturan?</t>
  </si>
  <si>
    <t xml:space="preserve">Formula Agregasi</t>
  </si>
  <si>
    <t xml:space="preserve">Kode_FormulaAgregasi</t>
  </si>
  <si>
    <t xml:space="preserve">F1</t>
  </si>
  <si>
    <t xml:space="preserve">Dijelaskan lengkap</t>
  </si>
  <si>
    <t xml:space="preserve">Cara menghitung, data yang dihitung, dan cakupannya ditulis lengkap. Fitur bisa dihitung ulang tanpa menebak apa pun.</t>
  </si>
  <si>
    <t xml:space="preserve">F2</t>
  </si>
  <si>
    <t xml:space="preserve">Dijelaskan sebagian</t>
  </si>
  <si>
    <t xml:space="preserve">Cara menghitung bisa dikenali, misalnya dijumlah, tetapi ada yang tidak ditulis, seperti nilai batas, angka pembagi, atau jenis data yang dihitung.</t>
  </si>
  <si>
    <t xml:space="preserve">F3</t>
  </si>
  <si>
    <t xml:space="preserve">Tidak dijelaskan</t>
  </si>
  <si>
    <t xml:space="preserve">Artikel hanya menyebut nama fitur atau menceritakannya secara umum. Cara menghitungnya tidak bisa dikenali.</t>
  </si>
  <si>
    <t xml:space="preserve">Langkah 1. Apakah cara menghitungnya bisa dikenali? Bila tidak, pilih F3. Langkah 2. Bila bisa, masih adakah angka atau aturan yang harus ditentukan sendiri? Bila ada, pilih F2. Bila tidak ada, pilih F1. Rumus bernomor yang nilai di dalamnya tidak disebutkan tetap F2.</t>
  </si>
  <si>
    <t xml:space="preserve">Data dari rentang waktu mana yang dipakai untuk menghitung fitur ini?</t>
  </si>
  <si>
    <t xml:space="preserve">Jendela Pengamatan</t>
  </si>
  <si>
    <t xml:space="preserve">Kode_JendelaPengamatan</t>
  </si>
  <si>
    <t xml:space="preserve">J1</t>
  </si>
  <si>
    <t xml:space="preserve">Seluruh masa kuliah</t>
  </si>
  <si>
    <t xml:space="preserve">Dihitung dari awal sampai akhir presentasi tanpa dipotong pada waktu tertentu.</t>
  </si>
  <si>
    <t xml:space="preserve">J2</t>
  </si>
  <si>
    <t xml:space="preserve">Dipotong, persen dari panjang tiap mata kuliah</t>
  </si>
  <si>
    <t xml:space="preserve">Data dipotong di beberapa titik waktu. Persentasenya dihitung dari panjang masing-masing mata kuliah yang berbeda-beda.</t>
  </si>
  <si>
    <t xml:space="preserve">J3</t>
  </si>
  <si>
    <t xml:space="preserve">Dipotong, persen dari panjang yang diseragamkan</t>
  </si>
  <si>
    <t xml:space="preserve">Semua mata kuliah dianggap sama panjang lebih dulu, misalnya 270 hari, lalu dipotong di beberapa persentase.</t>
  </si>
  <si>
    <t xml:space="preserve">J4</t>
  </si>
  <si>
    <t xml:space="preserve">Per hari</t>
  </si>
  <si>
    <t xml:space="preserve">Nilai dicatat per hari, tidak digabung antarhari, dan tidak ada titik pemotongan.</t>
  </si>
  <si>
    <t xml:space="preserve">J5</t>
  </si>
  <si>
    <t xml:space="preserve">Per minggu</t>
  </si>
  <si>
    <t xml:space="preserve">Nilai dicatat per minggu dan tidak ada titik pemotongan.</t>
  </si>
  <si>
    <t xml:space="preserve">J6</t>
  </si>
  <si>
    <t xml:space="preserve">Dipisah sebelum dan sesudah kuliah dimulai</t>
  </si>
  <si>
    <t xml:space="preserve">Data dibagi menjadi masa sebelum presentasi dimulai dan masa sesudahnya.</t>
  </si>
  <si>
    <t xml:space="preserve">J8</t>
  </si>
  <si>
    <t xml:space="preserve">Artikel tidak menyebut rentang waktu data yang dipakai untuk menghitung fitur.</t>
  </si>
  <si>
    <t xml:space="preserve">Langkah 1. Apakah data dipotong di beberapa titik waktu? Bila tidak, pilih di antara J1, J4, J5, J6, atau J8. Langkah 2. Bila ya, apakah panjang semua mata kuliah diseragamkan dulu? Bila ya, pilih J3. Bila tidak, pilih J2. Bila data dipotong dan juga dihitung per hari atau per minggu, kode tetap J2 atau J3, dan satuan waktunya ditulis di Catatan_Pengode.</t>
  </si>
  <si>
    <t xml:space="preserve">Apakah artikel menyebut bahwa skala angka fitur ini diubah, dan dengan cara apa?</t>
  </si>
  <si>
    <t xml:space="preserve">Normalisasi</t>
  </si>
  <si>
    <t xml:space="preserve">Kode_Normalisasi</t>
  </si>
  <si>
    <t xml:space="preserve">N1</t>
  </si>
  <si>
    <t xml:space="preserve">Z-score</t>
  </si>
  <si>
    <t xml:space="preserve">Angka dikurangi rata-rata lalu dibagi simpangan baku. Artikel sering menyebutnya standardization atau z-score.</t>
  </si>
  <si>
    <t xml:space="preserve">N2</t>
  </si>
  <si>
    <t xml:space="preserve">Min-max</t>
  </si>
  <si>
    <t xml:space="preserve">Angka diubah ke rentang tertentu, biasanya nol sampai satu. Artikel sering menyebutnya min-max scaling.</t>
  </si>
  <si>
    <t xml:space="preserve">N3</t>
  </si>
  <si>
    <t xml:space="preserve">Cara lain</t>
  </si>
  <si>
    <t xml:space="preserve">Artikel memakai cara lain, misalnya transformasi logaritma. Nama caranya ditulis di Catatan_Pengode.</t>
  </si>
  <si>
    <t xml:space="preserve">N4</t>
  </si>
  <si>
    <t xml:space="preserve">Dinyatakan tidak dinormalisasi</t>
  </si>
  <si>
    <t xml:space="preserve">Artikel menulis dengan jelas bahwa skala fitur tidak diubah.</t>
  </si>
  <si>
    <t xml:space="preserve">N8</t>
  </si>
  <si>
    <t xml:space="preserve">Tidak dilaporkan</t>
  </si>
  <si>
    <t xml:space="preserve">Artikel tidak menyebut apa pun tentang normalisasi fitur ini.</t>
  </si>
  <si>
    <t xml:space="preserve">N4 dan N8 jangan tertukar. N4 hanya dipakai bila artikel menulis dengan jelas bahwa normalisasi tidak dilakukan. Artikel yang diam selalu N8. Bila artikel menyebut dari data mana rata-rata, simpangan baku, nilai minimum, atau nilai maksimum dihitung, tulis hal itu di Catatan_Pengode.</t>
  </si>
  <si>
    <t xml:space="preserve">Apa yang dilakukan artikel terhadap data kosong pada fitur ini?</t>
  </si>
  <si>
    <t xml:space="preserve">Penanganan Nilai Kosong</t>
  </si>
  <si>
    <t xml:space="preserve">Kode_NilaiKosong</t>
  </si>
  <si>
    <t xml:space="preserve">V1</t>
  </si>
  <si>
    <t xml:space="preserve">Dihapus</t>
  </si>
  <si>
    <t xml:space="preserve">Baris atau kolom yang berisi data kosong dibuang.</t>
  </si>
  <si>
    <t xml:space="preserve">V2</t>
  </si>
  <si>
    <t xml:space="preserve">Diisi rata-rata</t>
  </si>
  <si>
    <t xml:space="preserve">Data kosong diganti nilai rata-rata (mean).</t>
  </si>
  <si>
    <t xml:space="preserve">V3</t>
  </si>
  <si>
    <t xml:space="preserve">Diisi nilai tengah</t>
  </si>
  <si>
    <t xml:space="preserve">Data kosong diganti nilai tengah (median).</t>
  </si>
  <si>
    <t xml:space="preserve">V4</t>
  </si>
  <si>
    <t xml:space="preserve">Diisi nilai tersering</t>
  </si>
  <si>
    <t xml:space="preserve">Data kosong diganti nilai yang paling sering muncul (modus).</t>
  </si>
  <si>
    <t xml:space="preserve">V5</t>
  </si>
  <si>
    <t xml:space="preserve">Diisi angka tetap</t>
  </si>
  <si>
    <t xml:space="preserve">Data kosong diganti angka yang sama untuk semua, biasanya nol.</t>
  </si>
  <si>
    <t xml:space="preserve">V6</t>
  </si>
  <si>
    <t xml:space="preserve">Campuran</t>
  </si>
  <si>
    <t xml:space="preserve">Fitur pada baris ini sendiri mendapat lebih dari satu perlakuan.</t>
  </si>
  <si>
    <t xml:space="preserve">V8</t>
  </si>
  <si>
    <t xml:space="preserve">Artikel tidak menyebut cara menangani data kosong untuk fitur ini.</t>
  </si>
  <si>
    <t xml:space="preserve">Lihat perlakuan untuk fitur pada baris ini saja, bukan seluruh artikel. Contoh, artikel menulis data angka yang kosong diisi rata-rata dan data kategori yang kosong diisi modus. Bila fitur pada baris ini berupa angka, kodenya V2, bukan V6.</t>
  </si>
  <si>
    <t xml:space="preserve">Apakah artikel menjelaskan bahwa fitur hanya memakai data yang sudah tersedia pada saat prediksi dilakukan?</t>
  </si>
  <si>
    <t xml:space="preserve">Ketersediaan Temporal</t>
  </si>
  <si>
    <t xml:space="preserve">Kode_KetersediaanTemporal</t>
  </si>
  <si>
    <t xml:space="preserve">A1</t>
  </si>
  <si>
    <t xml:space="preserve">Dijelaskan dengan jelas</t>
  </si>
  <si>
    <t xml:space="preserve">Artikel menulis bahwa data dibatasi sampai waktu prediksi, atau membandingkan hasil dengan dan tanpa pembatasan itu.</t>
  </si>
  <si>
    <t xml:space="preserve">A2</t>
  </si>
  <si>
    <t xml:space="preserve">Ada waktu prediksi, pembatasan tidak dijelaskan</t>
  </si>
  <si>
    <t xml:space="preserve">Artikel memprediksi pada waktu atau tahap tertentu, tetapi tidak menulis apakah data dan angka acuannya ikut dibatasi sampai waktu itu.</t>
  </si>
  <si>
    <t xml:space="preserve">A3</t>
  </si>
  <si>
    <t xml:space="preserve">Tidak ada waktu prediksi</t>
  </si>
  <si>
    <t xml:space="preserve">Artikel tidak menetapkan waktu atau tahap prediksi sama sekali.</t>
  </si>
  <si>
    <t xml:space="preserve">Langkah 1. Apakah artikel menetapkan waktu atau tahap prediksi? Bila tidak, pilih A3 dan berhenti. Langkah 2. Bila ya, apakah artikel menulis bahwa data dibatasi sampai waktu itu, atau membandingkan hasil dengan dan tanpa pembatasan? Bila tidak, pilih A2 dan berhenti. Langkah 3. Bila ya, pilih A1. Adanya prediksi dini saja belum cukup untuk A1.</t>
  </si>
  <si>
    <t xml:space="preserve">ID_Pengodean</t>
  </si>
  <si>
    <t xml:space="preserve">Putaran</t>
  </si>
  <si>
    <t xml:space="preserve">Pengode</t>
  </si>
  <si>
    <t xml:space="preserve">Penelitian</t>
  </si>
  <si>
    <t xml:space="preserve">Fitur_Unit</t>
  </si>
  <si>
    <t xml:space="preserve">Kutipan_TabelSumber</t>
  </si>
  <si>
    <t xml:space="preserve">Kutipan_FormulaAgregasi</t>
  </si>
  <si>
    <t xml:space="preserve">Kutipan_JendelaPengamatan</t>
  </si>
  <si>
    <t xml:space="preserve">Kutipan_Normalisasi</t>
  </si>
  <si>
    <t xml:space="preserve">Kutipan_NilaiKosong</t>
  </si>
  <si>
    <t xml:space="preserve">Kutipan_KetersediaanTemporal</t>
  </si>
  <si>
    <t xml:space="preserve">Rujukan_Halaman_Bagian</t>
  </si>
  <si>
    <t xml:space="preserve">Status_Rujukan</t>
  </si>
  <si>
    <t xml:space="preserve">Catatan_Pengode</t>
  </si>
  <si>
    <t xml:space="preserve">OULAD-Qiu2022-001</t>
  </si>
  <si>
    <t xml:space="preserve">P1</t>
  </si>
  <si>
    <t xml:space="preserve">Pengode 1</t>
  </si>
  <si>
    <t xml:space="preserve">Qiu et al. (2022)</t>
  </si>
  <si>
    <t xml:space="preserve">E-learning behaviour Homepage sampai Externalquiz, Tabel 2 hlm. 8</t>
  </si>
  <si>
    <t xml:space="preserve">the e-learning data of 6,272 learners who participated in the DDD course were used as the data source</t>
  </si>
  <si>
    <t xml:space="preserve">bn is the n-th e-learning behaviour recorded by the e-learning platform</t>
  </si>
  <si>
    <t xml:space="preserve">-</t>
  </si>
  <si>
    <t xml:space="preserve">The proposed framework solves this problem by standardizing e-learning behaviour data in different dimensions with Z scores</t>
  </si>
  <si>
    <t xml:space="preserve">There is no unified process for data cleaning ... to manage missing values, duplicate values, and abnormal values</t>
  </si>
  <si>
    <t xml:space="preserve">Halaman 4, bagian (1) Data pre-processing. Halaman 7, bagian Data sources. Halaman 8, Tabel 2 dan Tabel 3.</t>
  </si>
  <si>
    <t xml:space="preserve">Terverifikasi</t>
  </si>
  <si>
    <t xml:space="preserve">Tabel Sumber. Naskah hanya menyebut data e-learning dan interaksi mahasiswa dengan VLE, tanpa nama tabel OULAD. Formula Agregasi. Naskah menyebut perilaku yang direkam platform tanpa operasi, sehingga tidak diketahui apakah nilainya jumlah klik atau frekuensi akses. Uraian number of access to resources pada halaman 1 bersifat umum dan tidak dikaitkan dengan fitur penelitian ini. Delapan perilaku terpilih juga berbeda antara Tabel 3 dan Tabel 4. Jendela Pengamatan. Rentang 2013 sampai 2014 pada bagian Data sources merujuk pengumpulan dataset, bukan jendela perhitungan fitur. Normalisasi. Rata-rata dan simpangan pada Persamaan 1 dihitung dari seluruh data perilaku ke-n pada tahap praproses, yaitu sebelum tahap pelatihan yang memuat pembagian 70:30. Naskah menyebut simbol pembagi sebagai varians, padahal rumusnya skor baku. Ketersediaan Temporal. Tidak ada titik waktu prediksi sehingga pengujian berhenti pada langkah pertama.</t>
  </si>
  <si>
    <t xml:space="preserve">OULAD-Qiu2022-002</t>
  </si>
  <si>
    <t xml:space="preserve">Category feature value, Persamaan 3 hlm. 4</t>
  </si>
  <si>
    <t xml:space="preserve">Vbi is the bi characteristic value of the behaviour, λ = 0 means the student has passed the curriculum, λ = 1 means failed</t>
  </si>
  <si>
    <t xml:space="preserve">standardizing e-learning behaviour data in different dimensions with Z scores</t>
  </si>
  <si>
    <t xml:space="preserve">Halaman 4, bagian (3) Feature fusion, Persamaan 2 dan Persamaan 3. Halaman 7, bagian Data sources. Halaman 8 sampai 9, Tabel 3, Tabel 4, dan Gambar 3.</t>
  </si>
  <si>
    <t xml:space="preserve">Tabel Sumber. Naskah hanya menyebut data e-learning, tanpa nama tabel OULAD. Formula Agregasi. Operasinya dapat dikenali sebagai kombinasi nilai maksimum dan rerata nilai karakteristik perilaku dalam satu kategori pada Persamaan 3. Nilai karakteristik pada Persamaan 2 berupa varians lintas sampel, sehingga cara memperoleh nilai per mahasiswa tidak dinyatakan. Parameter λ ditetapkan dari status lulus atau gagal mahasiswa, yang juga menjadi label prediksi. Anggota kategori tidak konsisten karena Tabel 3 memilih H, P, R, U, T, F, C, Q, sedangkan Tabel 4 dan Gambar 3 memakai H, P, G, W, T, F, E, Q. Normalisasi. Skor baku diterapkan pada data perilaku sebelum fusi, dan naskah tidak menyatakan penskalaan ulang atas nilai kategori. Ketersediaan Temporal. Tidak ada titik waktu prediksi sehingga pengujian berhenti pada langkah pertama. Ketergantungan λ pada label dicatat pada Formula Agregasi karena bukan persoalan titik waktu.</t>
  </si>
  <si>
    <t xml:space="preserve">OULAD-Shou2024-001</t>
  </si>
  <si>
    <t xml:space="preserve">Shou et al. (2024)</t>
  </si>
  <si>
    <t xml:space="preserve">Student activity data as input daily, Algorithm 1 hlm. 9 dan hlm. 11</t>
  </si>
  <si>
    <t xml:space="preserve">demographic data and clickstream data of student interactions in the VLE</t>
  </si>
  <si>
    <t xml:space="preserve">the “daily” model using student activity data as input daily ... U: Student clickstream data matrix, which has a shape N × T × 20</t>
  </si>
  <si>
    <t xml:space="preserve">all course lengths were standardized to 270 days ... into five segments of 20%, 40%, 60%, 80%, and 100% lengths</t>
  </si>
  <si>
    <t xml:space="preserve">samples with incorrect date fields were removed</t>
  </si>
  <si>
    <t xml:space="preserve">To verify the early prediction ability of the model, this paper divided the data by course time length into five segments</t>
  </si>
  <si>
    <t xml:space="preserve">Halaman 4, bagian 3.1 Introduction to the Dataset. Halaman 5, bagian 3.2 Data Processing. Halaman 9, Algorithm 1. Halaman 11, bagian 5.3.2 Early Risk Prediction.</t>
  </si>
  <si>
    <t xml:space="preserve">Tabel Sumber. Naskah menyebut clickstream data tanpa nama tabel OULAD. Formula Agregasi. Algorithm 1 mendefinisikan matriks klik berukuran N × T × 20 dengan T sebagai jumlah hari kursus, sehingga nilai harian per jenis aktivitas dapat dikenali. Operasi yang menghasilkan nilai harian dari catatan klik dan makna kata summarized pada halaman 5 tidak dinyatakan. Jendela Pengamatan. Panjang seluruh presentasi diseragamkan menjadi 270 hari lebih dahulu lalu dipotong pada lima persentase, sehingga masuk J3. Satuan harian dicatat di sini sesuai aturan keputusan Jendela Pengamatan. Normalisasi. Frasa standardized to 270 days merujuk panjang kursus, bukan penskalaan fitur. Penanganan Nilai Kosong. Kalimat yang ada hanya menghapus sampel dengan tanggal tidak benar dan tidak menyebut nilai kosong, sehingga dipilih kode keterlaporan lebih rendah sesuai Aturan 8. Ketersediaan Temporal. Terdapat lima titik waktu, tetapi naskah tidak menyatakan bahwa data atau statistik acuan dibatasi sampai titik tersebut.</t>
  </si>
  <si>
    <t xml:space="preserve">OULAD-Shou2024-002</t>
  </si>
  <si>
    <t xml:space="preserve">Weekly average click volume, hlm. 5 dan hlm. 11</t>
  </si>
  <si>
    <t xml:space="preserve">summarized the clickstream data and weekly average click volume for each segment as representative variables for the student’s virtual learning environment (VLE) interaction</t>
  </si>
  <si>
    <t xml:space="preserve">the “weekly” model using students’ weekly activity data as input</t>
  </si>
  <si>
    <t xml:space="preserve">Halaman 4, bagian 3.1 Introduction to the Dataset. Halaman 5, bagian 3.2 Data Processing. Halaman 11, bagian 5.3.2 Early Risk Prediction.</t>
  </si>
  <si>
    <t xml:space="preserve">Tabel Sumber. Naskah menyebut clickstream data tanpa nama tabel OULAD. Formula Agregasi. Operasi rerata mingguan dapat dikenali, tetapi besaran yang dirata-rata, penyebutnya, dan perlakuan bagi minggu tanpa aktivitas tidak dinyatakan. Naskah juga tidak menyatakan apakah rerata dihitung per jenis aktivitas atau atas seluruh klik. Jendela Pengamatan. Panjang seluruh presentasi diseragamkan menjadi 270 hari lebih dahulu lalu dipotong pada lima persentase, sehingga masuk J3. Satuan mingguan dicatat di sini sesuai aturan keputusan Jendela Pengamatan. Normalisasi. Frasa standardized to 270 days merujuk panjang kursus, bukan penskalaan fitur. Penanganan Nilai Kosong. Kalimat yang ada hanya menghapus sampel dengan tanggal tidak benar dan tidak menyebut nilai kosong, sehingga dipilih kode keterlaporan lebih rendah sesuai Aturan 8. Ketersediaan Temporal. Model weekly dievaluasi pada lima titik waktu yang sama, tetapi naskah tidak menyatakan bahwa data atau statistik acuan dibatasi sampai titik tersebut.</t>
  </si>
  <si>
    <t xml:space="preserve">OULAD-Shou2024-003</t>
  </si>
  <si>
    <t xml:space="preserve">Student assessment variables matrix, Algorithm 1 hlm. 9</t>
  </si>
  <si>
    <t xml:space="preserve">the clickstream data, assessment scores, and coded demographic data were concatenated to form the training data for the model</t>
  </si>
  <si>
    <t xml:space="preserve">C: Student assessment variables matrix, which has shape N × T × 3</t>
  </si>
  <si>
    <t xml:space="preserve">Within the first 20% of the course start time, MTAPSP embodies a high prediction performance</t>
  </si>
  <si>
    <t xml:space="preserve">Halaman 4, bagian 3.1 Introduction to the Dataset. Halaman 5, bagian 3.2 Data Processing. Halaman 9, Algorithm 1. Halaman 12, bagian 5.3.2 Early Risk Prediction.</t>
  </si>
  <si>
    <t xml:space="preserve">Tabel Sumber. Naskah menyebut assessment scores tanpa nama tabel OULAD. Formula Agregasi. Tiga variabel penilaian pada Algorithm 1 tidak dinamai, dan cara menempatkan skor pada sumbu hari serta pengisian hari tanpa penilaian tidak dinyatakan. Penyebutan TMA, CMA, dan Exam pada bagian 3.1 tidak dikaitkan dengan ketiga variabel tersebut. Jendela Pengamatan. Pemotongan pada lima persentase berlaku bagi the data secara keseluruhan, dan Algorithm 1 menempatkan matriks penilaian pada sumbu hari yang sama dengan matriks klik. Penanganan Nilai Kosong. Kalimat yang ada hanya menghapus sampel dengan tanggal tidak benar dan tidak menyebut nilai kosong, sehingga dipilih kode keterlaporan lebih rendah sesuai Aturan 8. Ketersediaan Temporal. Naskah mengaitkan kinerja tinggi pada titik 20% dengan fitur skor penilaian, tetapi tidak menyatakan penilaian mana yang sudah tersedia pada titik tersebut.</t>
  </si>
  <si>
    <t xml:space="preserve">OULAD-Masood2024-001</t>
  </si>
  <si>
    <t xml:space="preserve">Masood et al. (2024)</t>
  </si>
  <si>
    <t xml:space="preserve">Number of clicks (VLE Interactions), hlm. 103692</t>
  </si>
  <si>
    <t xml:space="preserve">The student VLE table stores click stream data (number of clicks) that indicate students’ daily activities and VLE interactions</t>
  </si>
  <si>
    <t xml:space="preserve">VLE Interactions: This includes the number of clicks, representing the extent of student engagement with the online resources</t>
  </si>
  <si>
    <t xml:space="preserve">at various percentages of the course length ... six phases: the start of the course, 20%, 40%, 60%, 80%, and 100% of the course studied</t>
  </si>
  <si>
    <t xml:space="preserve">Apply min-max normalization to the entire dataset before dividing it into training and testing sets</t>
  </si>
  <si>
    <t xml:space="preserve">all occurrences of nulls or values with noises in OULAD were eliminated or replaced with mean values</t>
  </si>
  <si>
    <t xml:space="preserve">Performances of at-risk students were predicted using criteria related to student demographics, VLE engagement, and assessments at various percentages of the course length</t>
  </si>
  <si>
    <t xml:space="preserve">Halaman 103692, bagian III.B Dataset Description. Halaman 103693 sampai 103694, bagian III.E Data Preprocessing. Halaman 103700, bagian IV Results and Discussion.</t>
  </si>
  <si>
    <t xml:space="preserve">Tabel Sumber. Tabel student VLE disebut sebagai penyimpan number of clicks, yaitu besaran yang sama dengan atribut fitur, sehingga dikode T1. Formula Agregasi. Fitur hanya dideskripsikan sebagai atribut yang mencakup jumlah klik, tanpa operasi agregasi, satuan waktu, atau cakupan jenis aktivitas, sehingga dipilih kode keterlaporan lebih rendah sesuai Aturan 8. Jendela Pengamatan. Persentase disebut terhadap panjang kursus tanpa langkah penyeragaman durasi, sehingga dikode J2. Pernyataan enam fase hanya muncul pada bagian hasil, hasil per fase tidak dilaporkan, dan Gambar 1 yang dirujuk tidak memuat fase tersebut. Normalisasi. Nilai minimum dan maksimum dihitung dari seluruh dataset sebelum pembagian data latih dan uji, lalu parameter yang sama dipakai untuk kedua himpunan. Penanganan Nilai Kosong. Pernyataan berlaku bagi seluruh nilai kosong OULAD dengan dua perlakuan sekaligus tanpa rincian per fitur, sehingga fitur ini tercakup keduanya. Ketersediaan Temporal. Terdapat fase waktu prediksi, tetapi pembatasan data tidak dinyatakan, dan normalisasi dinyatakan memakai seluruh dataset.</t>
  </si>
  <si>
    <t xml:space="preserve">OULAD-Masood2024-002</t>
  </si>
  <si>
    <t xml:space="preserve">Assessment Results, hlm. 103692</t>
  </si>
  <si>
    <t xml:space="preserve">The dataset triplet, known as the student-module presentation, contains the assessment results for each student</t>
  </si>
  <si>
    <t xml:space="preserve">Assessment Results: Continuous and final assessment scores measuring academic performance</t>
  </si>
  <si>
    <t xml:space="preserve">we have implemented min-max normalization across all variables</t>
  </si>
  <si>
    <t xml:space="preserve">Tabel Sumber. Naskah menyebut hasil penilaian pada triplet student-module presentation tanpa nama tabel studentAssessment. Formula Agregasi. Hanya deskripsi atribut skor, tanpa operasi seperti rerata, rerata berbobot, atau skor per penilaian. Jendela Pengamatan. Kalimat enam fase menyebut assessments secara eksplisit sebagai kriteria pada berbagai persentase panjang kursus. Normalisasi. Min-max diterapkan pada seluruh variabel dan seluruh dataset sebelum pembagian data latih dan uji, sebagaimana dinyatakan pada halaman 103694. Penanganan Nilai Kosong. Pernyataan berlaku bagi seluruh nilai kosong OULAD dengan dua perlakuan sekaligus tanpa rincian per fitur. Ketersediaan Temporal. Atribut memuat final assessment scores, sedangkan prediksi disebut dilakukan sejak fase awal kursus. Naskah tidak menyatakan bahwa skor yang belum tersedia pada fase tersebut dikeluarkan.</t>
  </si>
  <si>
    <t xml:space="preserve">OULAD-Althibyani2024-001</t>
  </si>
  <si>
    <t xml:space="preserve">Althibyani (2024)</t>
  </si>
  <si>
    <t xml:space="preserve">Sum-click (total portal clicks), hlm. 6, dan sum-click pada Tabel 1 hlm. 8</t>
  </si>
  <si>
    <t xml:space="preserve">the sum-click in the studentVle table</t>
  </si>
  <si>
    <t xml:space="preserve">the total portal clicks for a particular student throughout the year and their average grade were calculated</t>
  </si>
  <si>
    <t xml:space="preserve">the total portal clicks for a particular student throughout the year</t>
  </si>
  <si>
    <t xml:space="preserve">The scalar normalized the features within the range of 0 to 1</t>
  </si>
  <si>
    <t xml:space="preserve">The imputer replaced all missing values (NA) with the median value of that specific feature</t>
  </si>
  <si>
    <t xml:space="preserve">Halaman 6 sampai 7, bagian Data analysis and feature extraction. Halaman 8, bagian Model selection. Halaman 14, bagian Discussion.</t>
  </si>
  <si>
    <t xml:space="preserve">Formula Agregasi. Operasi penjumlahan sum-click per mahasiswa dapat dikenali, tetapi kunci pengelompokan, yaitu mahasiswa saja atau mahasiswa per presentasi modul, dan batas the year tidak dinyatakan. Jendela Pengamatan. Frasa throughout the year dimaknai sebagai keseluruhan periode tanpa pemotongan, meskipun acuannya tahun dan bukan presentasi. Normalisasi. Data acuan nilai minimum dan maksimum tidak disebut. Urutan penyajian menempatkan imputer dan scaler sebelum pembagian 75/25 pada halaman 8, tetapi hal ini merupakan inferensi pengode dari urutan tulisan. Ketersediaan Temporal. Tidak ada titik waktu prediksi sehingga pengujian berhenti pada langkah pertama. Bagian pembahasan pada halaman 14 menyebut fitur keaktifan harian dan jumlah klik per hari yang tidak diuraikan pada bagian metode.</t>
  </si>
  <si>
    <t xml:space="preserve">OULAD-Althibyani2024-002</t>
  </si>
  <si>
    <t xml:space="preserve">Score (average grade), hlm. 6, dan score pada Tabel 1 hlm. 8</t>
  </si>
  <si>
    <t xml:space="preserve">beneficial attributes were identified, including the score in the studentAssessment table</t>
  </si>
  <si>
    <t xml:space="preserve">the sum-click and score features were grouped ... and their average grade were calculated</t>
  </si>
  <si>
    <t xml:space="preserve">the total portal clicks for a particular student throughout the year and their average grade</t>
  </si>
  <si>
    <t xml:space="preserve">Halaman 6 sampai 7, bagian Data analysis and feature extraction. Halaman 8, bagian Model selection.</t>
  </si>
  <si>
    <t xml:space="preserve">Formula Agregasi. Operasi rerata dapat dikenali, tetapi jenis penilaian yang dirata-rata, keikutsertaan ujian akhir, dan penggunaan bobot tidak dinyatakan. Jendela Pengamatan. Frasa throughout the year secara gramatikal melekat pada total klik portal, sehingga jendela rerata nilai dianggap tidak dinyatakan dan dipilih kode keterlaporan lebih rendah sesuai Aturan 8. Normalisasi. Data acuan nilai minimum dan maksimum tidak disebut. Ketersediaan Temporal. Tidak ada titik waktu prediksi sehingga pengujian berhenti pada langkah pertama.</t>
  </si>
  <si>
    <t xml:space="preserve">OULAD-Althibyani2024-003</t>
  </si>
  <si>
    <t xml:space="preserve">Summative and formative marks (weight = 0), hlm. 7, serta totalCoursework dan summativeAgainstCredits pada Tabel 1 hlm. 8</t>
  </si>
  <si>
    <t xml:space="preserve">their summative and formative marks (weight = 0)</t>
  </si>
  <si>
    <t xml:space="preserve">For instance, computed ... their summative and formative marks (weight = 0)</t>
  </si>
  <si>
    <t xml:space="preserve">Halaman 7, bagian Data analysis and feature extraction. Halaman 8, Tabel 1.</t>
  </si>
  <si>
    <t xml:space="preserve">Tabel Sumber. Naskah menyebut marks dan bobot penilaian tanpa nama tabel OULAD. Formula Agregasi. Naskah hanya menyatakan bahwa nilai dihitung, tanpa operasi. Tabel 1 memuat nama totalCoursework dan summativeAgainstCredits tanpa definisi, dan keterangan weight = 0 tidak menjelaskan apakah hanya penilaian berbobot nol yang dihitung. Jendela Pengamatan. Rentang waktu tidak dinyatakan. Ketersediaan Temporal. Tidak ada titik waktu prediksi sehingga pengujian berhenti pada langkah pertama.</t>
  </si>
  <si>
    <t xml:space="preserve">OULAD-Althibyani2024-004</t>
  </si>
  <si>
    <t xml:space="preserve">Number of days a student submitted their coursework early, hlm. 7, dan daysEarlystdScore pada Tabel 1 hlm. 8</t>
  </si>
  <si>
    <t xml:space="preserve">computed the number of days a student submitted their coursework early</t>
  </si>
  <si>
    <t xml:space="preserve">Tabel Sumber. Sumber tidak disebut. Inferensi pengode mengarah pada tabel assessments untuk tenggat dan studentAssessment untuk tanggal pengumpulan. Formula Agregasi. Frasa number of days dapat dibaca sebagai selisih hari terhadap tenggat atau jumlah kejadian pengumpulan lebih awal. Aturan agregasi lintas penilaian dan perlakuan bagi pengumpulan terlambat tidak dinyatakan. Tabel 1 memuat nama daysEarlystdScore tanpa definisi, yang mengisyaratkan kombinasi dengan skor. Jendela Pengamatan. Rentang waktu tidak dinyatakan. Ketersediaan Temporal. Tidak ada titik waktu prediksi sehingga pengujian berhenti pada langkah pertama.</t>
  </si>
  <si>
    <t xml:space="preserve">OULAD-BalabiedEid2023-001</t>
  </si>
  <si>
    <t xml:space="preserve">Balabied and Eid (2023)</t>
  </si>
  <si>
    <t xml:space="preserve">Number of clicks before and after the course started, hlm. 7</t>
  </si>
  <si>
    <t xml:space="preserve">interactions with the virtual learning environment (VLE) in the form of clickstreams</t>
  </si>
  <si>
    <t xml:space="preserve">we will calculate the number of clicks that each student made both before and after the course started</t>
  </si>
  <si>
    <t xml:space="preserve">The number of clicks made before the course starts could be a significant factor in predicting a student’s performance</t>
  </si>
  <si>
    <t xml:space="preserve">deleting the week from and week to columns in the VLE data that have almost 80% missing values</t>
  </si>
  <si>
    <t xml:space="preserve">Halaman 4, bagian Dataset. Halaman 6, bagian Data preprocessing dan Data merging. Halaman 7, bagian Results.</t>
  </si>
  <si>
    <t xml:space="preserve">Tabel Sumber. Bagian Data merging menyebut penggabungan tabel student VLE dengan tabel VLE untuk memahami interaksi mahasiswa, tetapi kalimat itu tidak menyebut fitur klik, sehingga dipilih kode keterlaporan lebih rendah sesuai Aturan 8. Kode T2 layak dipertimbangkan pada adjudikasi. Formula Agregasi. Operasi penjumlahan klik per mahasiswa dan titik pisahnya dapat dikenali, tetapi batas akhir periode sesudah mulai tidak dinyatakan. Kalimatnya juga ditulis dalam bentuk rencana, yaitu we will calculate. Normalisasi. Tidak ada pernyataan normalisasi pada naskah. Penanganan Nilai Kosong. Kolom week from dan week to yang dihapus bukan masukan hitungan klik, sehingga tidak dianggap perlakuan fitur ini. Ketersediaan Temporal. Naskah mengklaim deteksi dini, tetapi tidak menetapkan titik waktu prediksi dan membagi seluruh data secara 80/20.</t>
  </si>
  <si>
    <t xml:space="preserve">OULAD-BalabiedEid2023-002</t>
  </si>
  <si>
    <t xml:space="preserve">Submit assessments on time or late, hlm. 6</t>
  </si>
  <si>
    <t xml:space="preserve">the date column of the assessment data</t>
  </si>
  <si>
    <t xml:space="preserve">determining if students submit assessments on time or late ... where 0 refer to late and 1 not</t>
  </si>
  <si>
    <t xml:space="preserve">date column of the assessment data using the mean number of days ... deleting missing values in the Student Assessment data</t>
  </si>
  <si>
    <t xml:space="preserve">Halaman 5, bagian Data preprocessing. Halaman 6, bagian Data merging dan Results. Halaman 7, bagian Results.</t>
  </si>
  <si>
    <t xml:space="preserve">Tabel Sumber. Naskah menyebut penggabungan tabel Assessments dengan tabel Student Assessment, tetapi tujuannya menelaah hubungan kinerja dan penilaian, bukan membentuk fitur ini, sehingga dipilih kode keterlaporan lebih rendah sesuai Aturan 8. Kode T4 layak dipertimbangkan pada adjudikasi. Formula Agregasi. Perbandingan tanggal pengumpulan dengan tenggat dapat dikenali, tetapi aturan pembandingnya dan agregasi ke tingkat mahasiswa tidak dinyatakan. Pengodean 0 untuk terlambat dan 1 untuk tepat waktu dicatat apa adanya. Jendela Pengamatan. Rentang waktu tidak dinyatakan. Normalisasi. Tidak ada pernyataan normalisasi pada naskah. Penanganan Nilai Kosong. Tanggal tenggat diimputasi rata-rata jumlah hari, sedangkan data Student Assessment yang kosong dihapus, sehingga masukan fitur ini menerima dua perlakuan. Ketersediaan Temporal. Tidak ada titik waktu prediksi sehingga pengujian berhenti pada langkah pertama.</t>
  </si>
  <si>
    <t xml:space="preserve">OULAD-Wang2025-001</t>
  </si>
  <si>
    <t xml:space="preserve">Wang (2025)</t>
  </si>
  <si>
    <t xml:space="preserve">Total clicks, Tabel 3 hlm. 9</t>
  </si>
  <si>
    <t xml:space="preserve">Key attributes include clickstream activity (such as the number of online resources accessed)</t>
  </si>
  <si>
    <t xml:space="preserve">Figure 4 shows that Total Clicks and First Assessment Score are the dominant features in predicting student success in the OULAD dataset</t>
  </si>
  <si>
    <t xml:space="preserve">Standardization was used, transforming each feature x according to</t>
  </si>
  <si>
    <t xml:space="preserve">For numerical features, missing entries were replaced with the feature mean</t>
  </si>
  <si>
    <t xml:space="preserve">Halaman 5, bagian Open university learning analytics dataset dan Data preprocessing and feature engineering. Halaman 7, Algorithm 1. Halaman 8, bagian Evaluation metrics and validation methods. Halaman 9, Tabel 3.</t>
  </si>
  <si>
    <t xml:space="preserve">Tabel Sumber. Naskah menyebut clickstream activity sebagai atribut OULAD tanpa nama tabel. Formula Agregasi. Fitur hanya disebut namanya pada Tabel 3 dan uraian Gambar 4 tanpa definisi perhitungan. Kata total mengisyaratkan penjumlahan, tetapi cakupan dan satuan klik tidak dinyatakan. Jendela Pengamatan. Frasa early engagement pada halaman 9 tidak menetapkan rentang waktu. Normalisasi. Rata-rata dan simpangan baku disebut sebagai milik fitur. Algorithm 1 menempatkan standardisasi pada langkah 1 sebelum pembagian 80:20 pada langkah 3, sedangkan bagian evaluasi menyebut 10-fold cross-validation, sehingga menurut urutan algoritma statistik acuannya berasal dari seluruh dataset. Penanganan Nilai Kosong. Fitur bersifat numerik sehingga berlaku imputasi rata-rata, bukan modus. Ketersediaan Temporal. Tidak ada titik waktu prediksi sehingga pengujian berhenti pada langkah pertama.</t>
  </si>
  <si>
    <t xml:space="preserve">OULAD-Wang2025-002</t>
  </si>
  <si>
    <t xml:space="preserve">Number of logins, Tabel 3 hlm. 9</t>
  </si>
  <si>
    <t xml:space="preserve">The dataset comprises seven interconnected tables covering student demographics, assessment scores, course registration, activity logs, and withdrawal status</t>
  </si>
  <si>
    <t xml:space="preserve">Behavioral metrics such as the Number of Logins further confirm that online activity is closely tied to achievement in digital learning environments</t>
  </si>
  <si>
    <t xml:space="preserve">Halaman 5, bagian Open university learning analytics dataset dan Data preprocessing and feature engineering. Halaman 7, Algorithm 1. Halaman 9, Tabel 3.</t>
  </si>
  <si>
    <t xml:space="preserve">Tabel Sumber. Naskah menyebut activity logs sebagai cakupan tabel OULAD tanpa nama tabel. Formula Agregasi. Fitur hanya disebut namanya tanpa definisi. Cara menurunkan peristiwa login tidak dinyatakan, sementara menurut pengetahuan pengode tentang skema OULAD tidak ada tabel yang merekam login secara eksplisit. Jendela Pengamatan. Rentang waktu tidak dinyatakan. Normalisasi. Standardisasi berlaku bagi fitur numerik dan ditempatkan sebelum pembagian data pada Algorithm 1. Penanganan Nilai Kosong. Fitur bersifat numerik sehingga berlaku imputasi rata-rata. Ketersediaan Temporal. Tidak ada titik waktu prediksi sehingga pengujian berhenti pada langkah pertama.</t>
  </si>
  <si>
    <t xml:space="preserve">OULAD-Wang2025-003</t>
  </si>
  <si>
    <t xml:space="preserve">First assessment, Tabel 3 hlm. 9</t>
  </si>
  <si>
    <t xml:space="preserve">Key attributes include clickstream activity (such as the number of online resources accessed), assessment results, final grades, and withdrawal date</t>
  </si>
  <si>
    <t xml:space="preserve">Figure 4 shows that Total Clicks and First Assessment Score are the dominant features</t>
  </si>
  <si>
    <t xml:space="preserve">Tabel Sumber. Naskah menyebut assessment results sebagai atribut OULAD tanpa nama tabel. Formula Agregasi. Fitur hanya disebut namanya. Penilaian yang dianggap pertama, jenis penilaiannya, dan perlakuan bagi mahasiswa yang tidak mengumpulkan tidak dinyatakan. Jendela Pengamatan. Kata first mengisyaratkan awal kursus, tetapi rentang waktu tidak dinyatakan. Normalisasi. Standardisasi berlaku bagi fitur numerik dan ditempatkan sebelum pembagian data pada Algorithm 1. Penanganan Nilai Kosong. Fitur bersifat numerik sehingga berlaku imputasi rata-rata. Ketersediaan Temporal. Tidak ada titik waktu prediksi sehingga pengujian berhenti pada langkah pertama.</t>
  </si>
  <si>
    <t xml:space="preserve">Pengode 2</t>
  </si>
  <si>
    <t xml:space="preserve">including student demographic data and interaction data between students and VLE</t>
  </si>
  <si>
    <t xml:space="preserve">When learning DDD courses, learners performed 12 e-learning behaviours, as shown in Table 2.</t>
  </si>
  <si>
    <t xml:space="preserve">The proposed framework solves this problem by standardizing e-learning behaviour data in different dimensions with Z scores.</t>
  </si>
  <si>
    <t xml:space="preserve">the method should be selected according to the real situation of the data to manage missing values, duplicate values, and abnormal values</t>
  </si>
  <si>
    <t xml:space="preserve">Halaman 6 sampai 7, bagian Data sources. Halaman 8, Tabel 2 dan Tabel 3. Halaman 4, bagian (1) Data pre-processing dan Persamaan 1. Halaman 8, bagian Predictor implementation and evaluation.</t>
  </si>
  <si>
    <t xml:space="preserve">Tabel Sumber. Artikel hanya menyebut OULAD, data e-learning, dan data interaksi mahasiswa dengan VLE pada modul DDD. Nama tabel studentVle atau vle tidak ditulis. Tebakan pengode (bukan dasar kode, Aturan 2): nama perilaku pada Tabel 2 sama dengan activity_type pada tabel vle. Formula Agregasi. Tabel 2 hanya berisi nama perilaku dan penjelasan singkat, misalnya Homepage berarti mengakses halaman utama. Artikel tidak menulis angka apa yang dihitung untuk tiap perilaku (jumlah klik, frekuensi akses, atau jumlah hari) maupun satuannya (per mahasiswa atau per presentasi). Persamaan 1 adalah standardisasi, bukan agregasi. Temuan tambahan: Tabel 3 dan Tabel 4 tidak sejalan tentang perilaku yang lolos seleksi. Tabel 3 membuang S, G, W, dan E, sedangkan Tabel 4 dan Gambar 3 membuang S, R, U, dan C. Jendela Pengamatan. Artikel hanya menyebut data 2013 sampai 2014 sebagai rentang pengumpulan dataset, yang menurut pedoman 6.3 bukan jendela pengamatan. Normalisasi. Z-score sesuai Persamaan 1. Artikel menyebut µ sebagai rata-rata dan σ sebagai variance walaupun σ dipakai sebagai pembagi. Artikel tidak menyebut apakah µ dan σ dihitung dari seluruh data atau hanya data latih, dan urutan standardisasi terhadap pembagian 70:30 tidak disebut. Nilai Kosong. Artikel hanya menulis bahwa cara menangani nilai kosong dipilih sesuai kondisi data, tanpa menyebut cara yang benar-benar dipakai. Ketersediaan Temporal. Artikel tidak menetapkan waktu atau tahap prediksi. Label yang diprediksi adalah hasil akhir qualified atau unqualified. Kata stage pada model PBC merujuk tahap proses belajar untuk mengelompokkan perilaku, bukan waktu prediksi. Keputusan berhenti di langkah 1. Independensi. Saat memeriksa struktur berkas sebelum mengode, Pengode 2 sempat melihat isian kode dan kutipan Pengode 1 pada unit ini. Kode di baris ini tetap diputuskan dari pembacaan artikel sendiri, tetapi kemandirian unit ini tidak penuh dan perlu dipertimbangkan peneliti utama.</t>
  </si>
  <si>
    <t xml:space="preserve">λ = 0 means the student has passed the curriculum, λ = 1 means failed</t>
  </si>
  <si>
    <t xml:space="preserve">Halaman 4, bagian (1) Data pre-processing, (2) Feature selection, dan (3) Feature fusion, Persamaan 1 sampai 3. Halaman 6 sampai 7, bagian Data sources. Halaman 8 sampai 9, Tabel 3, Tabel 4, dan Gambar 3.</t>
  </si>
  <si>
    <t xml:space="preserve">Tabel Sumber. Artikel hanya menyebut data e-learning dan data interaksi mahasiswa dengan VLE, tanpa nama tabel OULAD. Formula Agregasi. Persamaan 3 dapat dikenali sebagai gabungan berbobot antara nilai maksimum dan rata-rata nilai karakteristik perilaku dalam satu klaster, yaitu V_ci = λ·max{V_b1, ..., V_bi} + (1−λ)·ΣV_bi/n. Masih ada yang harus ditentukan sendiri. Pertama, V_bi disebut characteristic value, sedangkan Persamaan 2 mendefinisikan nilai karakteristik sebagai varians per perilaku, yaitu satu angka per perilaku dan bukan per mahasiswa. Cara memperoleh nilai per mahasiswa tidak dijelaskan. Kedua, notasi λ = (0,1) bersama penjelasan λ = 0 lulus dan λ = 1 gagal tidak menjelaskan cara menentukan λ pada data uji. Ketiga, angka perilaku sebelum standardisasi (klik, akses, atau lainnya) tidak didefinisikan. Keempat, anggota klaster hanya terlihat pada Gambar 3 (H dan P; W, G, dan T; F dan E; Q) dan tidak sejalan dengan Tabel 3. Jendela Pengamatan. Tidak ada rentang waktu data yang disebut. Tahun 2013 sampai 2014 hanya rentang pengumpulan dataset. Normalisasi. Nilai kategori dihitung dari data perilaku yang sudah distandardisasi z-score pada langkah praproses (Persamaan 1), sebelum langkah fusi. Artikel tidak menyebut normalisasi ulang terhadap hasil Persamaan 3 dan tidak menyebut apakah µ dan σ dihitung dari seluruh data atau hanya data latih. Nilai Kosong. Artikel tidak menyebut perlakuan yang benar-benar dipakai. Ketersediaan Temporal. Tidak ada waktu atau tahap prediksi, sehingga keputusan berhenti di langkah 1. Dugaan pengode (Aturan 2): bila λ memang diambil dari status lulus atau gagal, fitur ini memuat informasi label hasil akhir. Independensi. Saat memeriksa struktur berkas sebelum mengode, Pengode 2 sempat melihat isian kode dan kutipan Pengode 1 pada unit ini. Kode di baris ini tetap diputuskan dari pembacaan artikel sendiri, tetapi kemandirian unit ini tidak penuh dan perlu dipertimbangkan peneliti utama.</t>
  </si>
  <si>
    <t xml:space="preserve">including demographic data and clickstream data of student interactions in the VLE</t>
  </si>
  <si>
    <t xml:space="preserve">T: Number of course days; U: Student clickstream data matrix, which has a shape N × T × 20</t>
  </si>
  <si>
    <t xml:space="preserve">all course lengths were standardized to 270 days ... divided the data by course time length into five segments of 20%, 40%, 60%, 80%, and 100%</t>
  </si>
  <si>
    <t xml:space="preserve">this paper divided the dataset by percentage of course length and created two models to predict student performance</t>
  </si>
  <si>
    <t xml:space="preserve">Halaman 4, bagian 3.1 Introduction to the Dataset. Halaman 5, bagian 3.2 Data Processing. Halaman 9, Algorithm 1. Halaman 11, bagian 5.3.2 Early Risk Prediction dan Tabel 6.</t>
  </si>
  <si>
    <t xml:space="preserve">Tabel Sumber. Artikel hanya memakai istilah clickstream data dan interaksi mahasiswa di VLE. Nama tabel OULAD tidak disebut. Tebakan pengode (bukan dasar kode): klik harian dari studentVle dan 20 jenis aktivitas dari vle (Tabel 2). Formula Agregasi. Bentuk data dapat dikenali, yaitu matriks mahasiswa × hari kuliah × 20 jenis aktivitas, dan bagian 3.2 menyebut data clickstream diringkas (summarized) untuk tiap segmen. Yang tidak ditulis: isi tiap sel (jumlah klik atau jumlah akses), cara menyeragamkan panjang kuliah menjadi 270 hari (dipotong, diregangkan, atau diisi), dan nilai untuk hari tanpa aktivitas. Jendela Pengamatan. Panjang semua kuliah diseragamkan menjadi 270 hari, lalu data dibagi pada 20, 40, 60, 80, dan 100 persen, sehingga J3. Satuan waktu: per hari (model daily). Artikel tidak menulis tegas bahwa tiap segmen dihitung kumulatif dari awal kuliah, walaupun frasa segments of 20%, 40% ... lengths mengarah ke sana. Normalisasi. Tidak ada keterangan tentang skala fitur. Kata standardized pada bagian 3.2 merujuk panjang kuliah, bukan normalisasi fitur (pedoman 6.4). Kata normalization pada uraian attention merujuk fungsi softmax. Nilai Kosong. Artikel hanya menulis bahwa sampel dengan kolom tanggal yang salah dihapus. Itu data yang salah, bukan data kosong, sehingga tidak dikode V1 (Aturan 2 dan 8). Pengisian hari tanpa klik tidak disebut. Ketersediaan Temporal. Artikel memprediksi pada tahap 20 sampai 100 persen panjang kuliah (Tabel 6), tetapi tidak menulis bahwa perhitungan fitur dan angka acuannya dibatasi sampai titik itu, dan tidak membandingkan hasil dengan dan tanpa pembatasan. Pemotongan segmen saja belum cukup untuk A1 (pedoman 6.6). Pembagian latih-uji 80:20 dilakukan acak. Keputusan berhenti di langkah 2.</t>
  </si>
  <si>
    <t xml:space="preserve">Halaman 4, bagian 3.1 Introduction to the Dataset. Halaman 5, bagian 3.2 Data Processing. Halaman 11, bagian 5.3.2 Early Risk Prediction dan Tabel 6.</t>
  </si>
  <si>
    <t xml:space="preserve">Tabel Sumber. Artikel hanya memakai istilah clickstream data dan interaksi di VLE. Nama tabel OULAD tidak disebut. Formula Agregasi. Operasi rata-rata dapat dikenali dari nama weekly average click volume, tetapi tidak ditulis rata-rata dari apa (total klik per minggu dibagi jumlah minggu dalam segmen, atau rata-rata harian dalam seminggu), pembaginya (semua minggu atau hanya minggu aktif), jenis aktivitas yang dihitung, dan cara menyeragamkan panjang kuliah menjadi 270 hari. Bagian 5.3.2 juga menyebut model weekly memakai weekly activity data, yang bisa berarti deret nilai per minggu, bukan satu angka rata-rata. Hubungan keduanya tidak dijelaskan. Jendela Pengamatan. Panjang kuliah diseragamkan menjadi 270 hari dan data dibagi pada 20 sampai 100 persen, sehingga J3. Satuan waktu: per minggu. Normalisasi. Tidak dilaporkan. Kata standardized pada bagian 3.2 merujuk panjang kuliah. Nilai Kosong. Tidak dilaporkan untuk fitur ini. Penghapusan sampel dengan tanggal yang salah bukan penanganan data kosong. Ketersediaan Temporal. Ada tahap prediksi 20 sampai 100 persen, tetapi artikel tidak menulis bahwa perhitungan fitur, termasuk pembagi rata-rata mingguan, dibatasi sampai titik prediksi. Pemotongan segmen saja belum cukup untuk A1. Keputusan berhenti di langkah 2.</t>
  </si>
  <si>
    <t xml:space="preserve">Tabel Sumber. Artikel hanya menyebut assessment scores dan tiga jenis penilaian (TMA, CMA, dan Exam) tanpa nama tabel OULAD. Tebakan pengode (bukan dasar kode): studentAssessment dan assessments. Formula Agregasi. Artikel hanya memberi nama dan ukuran matriks, yaitu mahasiswa × hari × 3. Tidak ditulis apa tiga variabelnya (dugaan: TMA, CMA, dan Exam), angka apa yang diisikan per hari (skor pada hari pengumpulan, skor terakhir yang dibawa ke hari berikutnya, atau lainnya), dan nilai pada hari tanpa penilaian. Cara menghitung tidak bisa dikenali. Jendela Pengamatan. Bagian 3.2 membagi the data dan bagian 5.3.2 membagi the dataset berdasarkan persentase panjang kuliah yang sudah diseragamkan menjadi 270 hari, dan tugas prediksi dini memakai clickstream serta skor penilaian, sehingga J3. Artikel tidak menulis khusus bagaimana pemotongan diterapkan pada matriks penilaian. Satuan waktu: per hari (T adalah jumlah hari kuliah). Normalisasi. Tidak dilaporkan. Nilai Kosong. Tidak dilaporkan. Pengisian hari tanpa penilaian tidak dijelaskan. Ketersediaan Temporal. Ada tahap prediksi 20 sampai 100 persen, tetapi artikel tidak menulis bahwa skor penilaian dengan tenggat atau tanggal kumpul sesudah titik prediksi dikeluarkan. Keputusan berhenti di langkah 2.</t>
  </si>
  <si>
    <t xml:space="preserve">The student VLE table stores click stream data (number of clicks) that indicate students’ daily activities and VLE interactions.</t>
  </si>
  <si>
    <t xml:space="preserve">VLE Interactions: This includes the number of clicks, representing the extent of student engagement with the online resources.</t>
  </si>
  <si>
    <t xml:space="preserve">Performances of at-risk students were predicted using criteria related to student demographics, VLE engagement, and assessments at various percentages of the course length.</t>
  </si>
  <si>
    <t xml:space="preserve">Apply min-max normalization to the entire dataset before dividing it into training and testing sets.</t>
  </si>
  <si>
    <t xml:space="preserve">divided into six phases: the start of the course, 20%, 40%, 60%, 80%, and 100% of the course studied</t>
  </si>
  <si>
    <t xml:space="preserve">Halaman 103692, bagian III.B Dataset Description. Halaman 103693, bagian III.E Data Preprocessing. Halaman 103694, bagian Practical Application in the Study. Halaman 103700, bagian IV Results &amp; Discussion.</t>
  </si>
  <si>
    <t xml:space="preserve">Tabel Sumber. Artikel menulis student VLE table sebagai tabel yang menyimpan jumlah klik, dan fitur VLE Interactions didefinisikan sebagai jumlah klik. Tidak ada tabel lain yang disebut untuk fitur ini. Nama tabel ditulis dengan spasi (student VLE table), bukan studentVle. Formula Agregasi. Artikel hanya menyebut number of clicks sebagai gambaran keterlibatan. Tidak ditulis apakah klik dijumlah per mahasiswa, per hari, atau per jenis aktivitas, atau dipakai sebagai deret waktu (bagian III.C menyebut time-series data of student interactions). Cara menghitung tidak bisa dikenali. Jendela Pengamatan. Bagian IV menyebut prediksi pada berbagai persentase panjang kuliah dengan enam fase (awal kuliah, 20, 40, 60, 80, dan 100 persen). Penyeragaman panjang kuliah tidak disebut, sehingga J2. Bagian praproses tidak menyebut pemotongan ini dan hasil per fase tidak dilaporkan. Artikel menyebut Gambar 1 memuat alur enam fase, padahal Gambar 1 hanya berisi alur praproses sampai model HDL. Normalisasi. Min-max ke rentang 0 sampai 1 untuk semua variabel (Persamaan 1). Artikel menulis min-max diterapkan pada seluruh dataset sebelum dibagi menjadi data latih dan uji, sehingga nilai minimum dan maksimum dihitung dari seluruh data, termasuk data uji dan data sesudah titik prediksi. Artikel lalu menulis parameter yang sama dipakai untuk data latih dan uji. Nilai Kosong. Artikel menulis bahwa semua null atau nilai bernoise di OULAD dihapus atau diganti rata-rata, tanpa aturan kapan dihapus dan kapan diisi, sehingga fitur ini dapat menerima dua perlakuan (V6). Kalimat berikutnya khusus untuk kolom tanggal, yang diisi rata-rata kolom. Artikel tidak menyebut dari data mana rata-rata pengisi dihitung. Ketersediaan Temporal. Ada tahap prediksi (enam fase), tetapi artikel tidak menulis bahwa data dibatasi sampai fase itu. Sebaliknya, min-max dihitung dari seluruh dataset. Keputusan berhenti di langkah 2.</t>
  </si>
  <si>
    <t xml:space="preserve">The dataset triplet, known as the student-module presentation, contains the assessment results for each student.</t>
  </si>
  <si>
    <t xml:space="preserve">Assessment Results: Continuous and final assessment scores measuring academic performance.</t>
  </si>
  <si>
    <t xml:space="preserve">Tabel Sumber. Artikel hanya menyebut assessment results dan dataset triplet (student-module presentation) tanpa nama tabel studentAssessment atau assessments. Tebakan pengode: studentAssessment. Formula Agregasi. Artikel hanya menyebut skor penilaian berkelanjutan dan akhir. Tidak ditulis apakah skor dirata-rata, dijumlah, atau dibobot, apakah dipisah per jenis penilaian, dan apakah skor ujian akhir ikut dipakai. Cara menghitung tidak bisa dikenali. Jendela Pengamatan. Bagian IV menyebut prediksi memakai kriteria penilaian pada berbagai persentase panjang kuliah (enam fase) tanpa penyeragaman panjang kuliah, sehingga J2. Tidak dijelaskan penilaian mana yang masuk ke tiap fase. Normalisasi. Min-max ke rentang 0 sampai 1 untuk semua variabel, diterapkan pada seluruh dataset sebelum pembagian data latih dan uji. Nilai Kosong. Null di OULAD dihapus atau diganti rata-rata tanpa aturan pemisah, dan kolom tanggal yang kosong diisi rata-rata kolom, sehingga V6. Ketersediaan Temporal. Ada enam fase prediksi, tetapi pembatasan data sampai fase itu tidak ditulis, dan min-max dihitung dari seluruh dataset. Keputusan berhenti di langkah 2. Dugaan pengode (Aturan 2): frasa continuous and final assessment scores berpotensi memuat skor ujian akhir yang baru tersedia di akhir kuliah.</t>
  </si>
  <si>
    <t xml:space="preserve">The imputer replaced all missing values (NA) with the median value of that specific feature.</t>
  </si>
  <si>
    <t xml:space="preserve">Halaman 6, bagian Data analysis and feature extraction. Halaman 7, paragraf tentang imputer dan scalar. Halaman 8, Tabel 1 dan bagian Model selection.</t>
  </si>
  <si>
    <t xml:space="preserve">Tabel Sumber. Artikel menulis sum-click berasal dari tabel studentVle. Formula Agregasi. Penjumlahan klik per mahasiswa dapat dikenali, tetapi tidak ditulis apakah dijumlah per presentasi atau lintas modul, apa arti the year bila mahasiswa mengikuti lebih dari satu presentasi, dan jenis aktivitas apa yang dihitung. Jendela Pengamatan. Frasa throughout the year menunjukkan seluruh periode tanpa pemotongan, sehingga J1. Artikel memakai kata year, bukan presentasi. Normalisasi. Scaler ke rentang 0 sampai 1 (min-max). Artikel tidak menyebut dari data mana nilai minimum dan maksimum dihitung. Paragraf imputer dan scaler ditulis sebelum pembagian latih-uji 75/25, tetapi urutan pengerjaannya tidak dinyatakan tegas. Nilai Kosong. Semua NA diganti median dari fitur masing-masing. Artikel tidak menyebut apakah median dihitung dari seluruh data atau data latih. Ketersediaan Temporal. Artikel tidak menetapkan waktu atau tahap prediksi. Yang diprediksi adalah hasil akhir kuliah, dan early intervention hanya disebut sebagai tujuan umum. Keputusan berhenti di langkah 1.</t>
  </si>
  <si>
    <t xml:space="preserve">the score in the studentAssessment table</t>
  </si>
  <si>
    <t xml:space="preserve">Halaman 6, bagian Data analysis and feature extraction. Halaman 7, paragraf tentang imputer dan scalar. Halaman 8, Tabel 1.</t>
  </si>
  <si>
    <t xml:space="preserve">Tabel Sumber. Artikel menulis score berasal dari tabel studentAssessment. Formula Agregasi. Rata-rata nilai per mahasiswa dapat dikenali, tetapi tidak ditulis apakah rata-rata biasa atau berbobot, penilaian mana yang dirata-rata (TMA, CMA, atau ujian akhir), apakah dihitung per presentasi, dan bagaimana penilaian yang tidak dikumpulkan diperlakukan. Jendela Pengamatan. Frasa throughout the year secara tata bahasa melekat pada total portal clicks. Artikel tidak menulis rentang waktu untuk average grade. Ragu antara J1 dan J8, dipilih J8 sesuai Aturan 8. Normalisasi. Scaler ke rentang 0 sampai 1 untuk fitur. Sumber nilai minimum dan maksimum tidak disebut. Nilai Kosong. NA diganti median dari fitur masing-masing. Ketersediaan Temporal. Tidak ada waktu atau tahap prediksi. Keputusan berhenti di langkah 1. Dugaan pengode (Aturan 2): bila ujian akhir ikut dirata-rata, fitur ini memuat nilai yang baru tersedia di akhir kuliah.</t>
  </si>
  <si>
    <t xml:space="preserve">Then incorporated additional data into the model, aiming to utilize as much data as possible to assist the model in identifying patterns.</t>
  </si>
  <si>
    <t xml:space="preserve">Halaman 7, paragraf sesudah Gambar 2. Halaman 8, Tabel 1. Halaman 5 sampai 6, bagian Dataset preparation.</t>
  </si>
  <si>
    <t xml:space="preserve">Tabel Sumber. Untuk fitur ini artikel hanya menulis additional data, tanpa nama tabel atau istilah sumber yang spesifik. Daftar file OULAD pada bagian Dataset preparation (termasuk assessments dan studentAssessments) tidak dikaitkan dengan fitur ini. Tebakan pengode: assessments (kolom weight) dan studentAssessment (skor), yang akan menjadi T4 bila ditulis. Ragu antara T8 dan T9, dipilih T9 sesuai Aturan 8. Formula Agregasi. Artikel hanya menyebut summative and formative marks (weight = 0). Tabel 1 memuat label totalCoursework dan summativeAgainstCredits yang tidak dijelaskan. Tidak ditulis cara menghitungnya (dijumlah, dirata-rata, atau dibagi kredit), penilaian mana yang termasuk sumatif atau formatif selain petunjuk weight = 0, dan hubungan antara istilah di teks dengan label di Tabel 1. Temuan sesuai Aturan 11: Fitur_Unit tampak berisi lebih dari satu fitur (nilai sumatif, nilai formatif, totalCoursework, dan summativeAgainstCredits). Jendela Pengamatan. Tidak disebut. Normalisasi. Scaler ke rentang 0 sampai 1 untuk fitur. Sumber nilai minimum dan maksimum tidak disebut. Nilai Kosong. NA diganti median dari fitur masing-masing. Ketersediaan Temporal. Tidak ada waktu atau tahap prediksi. Keputusan berhenti di langkah 1.</t>
  </si>
  <si>
    <t xml:space="preserve">Halaman 7, paragraf sesudah Gambar 2 dan paragraf tentang imputer dan scalar. Halaman 8, Tabel 1.</t>
  </si>
  <si>
    <t xml:space="preserve">Tabel Sumber. Untuk fitur ini artikel hanya menulis additional data, tanpa nama tabel. Tebakan pengode: assessments (tenggat) dan studentAssessment (tanggal kumpul), yang akan menjadi T4 bila ditulis. Ragu antara T8 dan T9, dipilih T9 sesuai Aturan 8. Formula Agregasi. Selisih hari antara tenggat dan tanggal kumpul dapat dikenali dari frasa number of days a student submitted their coursework early, tetapi tidak ditulis cara menggabungkan beberapa tugas (dijumlah atau dirata-rata), perlakuan tugas terlambat atau tidak dikumpulkan, dan apakah ujian ikut dihitung. Label Tabel 1, daysEarlystdScore, memuat bagian stdScore yang tidak dijelaskan. Jendela Pengamatan. Tidak disebut. Normalisasi. Scaler ke rentang 0 sampai 1 untuk fitur. Bagian stdScore pada label tidak dijelaskan sehingga tidak dijadikan dasar kode. Sumber nilai minimum dan maksimum tidak disebut. Nilai Kosong. NA diganti median dari fitur masing-masing. Tidak ditulis apakah mahasiswa yang tidak mengumpulkan tugas menjadi NA. Ketersediaan Temporal. Tidak ada waktu atau tahap prediksi. Keputusan berhenti di langkah 1.</t>
  </si>
  <si>
    <t xml:space="preserve">the fourth method involves deleting the week from and week to columns in the VLE data that have almost 80% missing values</t>
  </si>
  <si>
    <t xml:space="preserve">the input for a random forest classifier to predict student failure at an early stage illustrated in Fig. 8</t>
  </si>
  <si>
    <t xml:space="preserve">Halaman 4, bagian Dataset. Halaman 6, bagian Data preprocessing dan Data merging. Halaman 7, paragraf tentang jumlah klik. Halaman 10, paragraf sebelum Tabel 1. Halaman 11, Gambar 8.</t>
  </si>
  <si>
    <t xml:space="preserve">Tabel Sumber. Untuk fitur ini artikel memakai istilah clickstream dan interaksi dengan VLE. Bagian Data merging menulis penggabungan student VLE table dengan VLE table untuk memahami interaksi mahasiswa dengan VLE, tetapi tidak menulis bahwa jumlah klik dihitung dari hasil gabungan itu. Ada juga penggabungan VLE data dengan Student Info. Tebakan pengode: studentVle dan vle, yang akan menjadi T2 bila keterkaitan itu dianggap tertulis. Ragu antara T2 dan T8, dipilih T8 sesuai Aturan 8. Formula Agregasi. Penjumlahan klik per mahasiswa yang dipisah sebelum dan sesudah kuliah dimulai dapat dikenali. Tidak ditulis: batas antara sebelum dan sesudah (hari ke-0 masuk ke mana), batas akhir periode sesudah kuliah dimulai, apakah dijumlah per presentasi, dan jenis aktivitas yang dihitung. Jendela Pengamatan. Data dibagi menjadi sebelum dan sesudah kuliah dimulai, sehingga J6. Batas akhir periode sesudah kuliah dimulai tidak disebut. Normalisasi. Tidak ada keterangan tentang skala fitur. Nilai Kosong. Artikel menghapus kolom week_from dan week_to pada data VLE karena hampir 80 persen kosong, tetapi kolom itu bukan bagian dari fitur ini. Perlakuan data kosong untuk jumlah klik tidak disebut. Ragu antara V1 dan V8, dipilih V8 sesuai Aturan 8. Ketersediaan Temporal. Artikel menyebut prediksi at an early stage, tetapi tidak menetapkan waktu atau tahap tertentu. Gambar 8 hanya alur umum, dan pembagian latih-uji 80/20 tidak dikaitkan dengan waktu. Ragu antara A2 dan A3, dipilih A3 sesuai Aturan 8. Keputusan berhenti di langkah 1.</t>
  </si>
  <si>
    <t xml:space="preserve">It includes demographic information on 32,593 students in addition to their assessment results</t>
  </si>
  <si>
    <t xml:space="preserve">One of the indicators utilized for identifying student failure is determining if students submit assessments on time or late.</t>
  </si>
  <si>
    <t xml:space="preserve">missing values in the date column of the assessment data using the mean number of days ... deleting missing values in the Student Assessment data</t>
  </si>
  <si>
    <t xml:space="preserve">Halaman 4, bagian Dataset. Halaman 5 sampai 6, bagian Data preprocessing dan Data merging. Halaman 6 sampai 7, awal bagian Results dan Gambar 2. Halaman 10, paragraf sebelum Tabel 1.</t>
  </si>
  <si>
    <t xml:space="preserve">Tabel Sumber. Untuk fitur ini artikel memakai istilah assessment results dan assessment data. Bagian Data merging menulis penggabungan Assessments table dengan Student Assessment table untuk melihat hubungan kinerja dan penilaian, dan Gambar 2 memakai kolom Assessment_Type, tetapi artikel tidak menulis bahwa status tepat waktu atau terlambat dihitung dari gabungan itu. Tebakan pengode: assessments dan studentAssessment, yang akan menjadi T4 bila keterkaitan itu dianggap tertulis. Ragu antara T4 dan T8, dipilih T8 sesuai Aturan 8. Formula Agregasi. Status biner per penilaian dapat dikenali (0 berarti terlambat, 1 berarti tidak), tetapi tidak ditulis aturan pembandingnya (tanggal kumpul dibanding tenggat, dengan atau tanpa toleransi), cara menggabungkan beberapa penilaian menjadi satu nilai per mahasiswa, dan perlakuan ujian akhir. Jendela Pengamatan. Tidak disebut. Normalisasi. Tidak ada keterangan tentang skala fitur. Nilai Kosong. Fitur ini memakai tanggal penilaian dan data Student Assessment. Artikel mengisi tanggal penilaian yang kosong dengan rata-rata jumlah hari dan menghapus nilai kosong pada data Student Assessment, sehingga fitur ini mendapat dua perlakuan (V6). Artikel tidak menyebut dari data mana rata-rata dihitung. Ketersediaan Temporal. Prediksi disebut at an early stage tanpa waktu atau tahap tertentu. Ragu antara A2 dan A3, dipilih A3 sesuai Aturan 8. Keputusan berhenti di langkah 1.</t>
  </si>
  <si>
    <t xml:space="preserve">Figure 4 shows that Total Clicks and First Assessment Score are the dominant features in predicting student success in the OULAD dataset.</t>
  </si>
  <si>
    <t xml:space="preserve">These indicators reflect early engagement and academic performance in the course.</t>
  </si>
  <si>
    <t xml:space="preserve">This rescaling ensures that each feature has zero mean and unit variance.</t>
  </si>
  <si>
    <t xml:space="preserve">to develop a real-time early academic monitoring and intervention strategy</t>
  </si>
  <si>
    <t xml:space="preserve">Halaman 2, bagian pendahuluan. Halaman 5, bagian Open university learning analytics dataset dan Data preprocessing and feature engineering. Halaman 7, Algorithm 1. Halaman 8, bagian validasi. Halaman 9, Tabel 3 dan uraian Gambar 4.</t>
  </si>
  <si>
    <t xml:space="preserve">Tabel Sumber. Artikel hanya menyebut OULAD terdiri atas tujuh tabel dan memiliki atribut clickstream activity, tanpa nama tabel untuk fitur ini. Tebakan pengode: studentVle. Formula Agregasi. Total clicks hanya muncul sebagai nama pada Tabel 3 dan uraian Gambar 4. Kata total mengisyaratkan penjumlahan, tetapi artikel tidak menjelaskan cakupan, jenis aktivitas, maupun satuannya. Ragu antara F2 dan F3, dipilih F3 sesuai Aturan 8. Jendela Pengamatan. Artikel hanya menulis bahwa indikator ini mencerminkan keterlibatan awal (early engagement), tanpa rentang waktu. Normalisasi. Standardisasi z-score untuk fitur numerik (Persamaan 2). Algorithm 1 menaruh standardisasi dan imputasi pada langkah 1, sebelum pembagian data latih-uji pada langkah 3, sehingga µ dan σ tampaknya dihitung dari seluruh dataset. Teks juga menyebut stratified 10-fold cross-validation tanpa menyebut standardisasi ulang per fold. Nilai Kosong. Fitur numerik yang kosong diisi rata-rata fitur (Persamaan 1). Modus hanya untuk fitur kategori, sehingga V2. Menurut Algorithm 1, rata-rata dihitung sebelum pembagian data. Ketersediaan Temporal. Artikel menyebut tujuan pemantauan real-time dan deteksi dini, tetapi tidak menetapkan waktu atau tahap prediksi untuk OULAD. Evaluasi memakai cross-validation. Keputusan berhenti di langkah 1.</t>
  </si>
  <si>
    <t xml:space="preserve">Behavioral metrics such as the Number of Logins further confirm that online activity is closely tied to achievement in digital learning environments.</t>
  </si>
  <si>
    <t xml:space="preserve">Halaman 2, bagian pendahuluan. Halaman 5, bagian Open university learning analytics dataset dan Data preprocessing and feature engineering. Halaman 7, Algorithm 1. Halaman 9, Tabel 3 dan uraian Gambar 4.</t>
  </si>
  <si>
    <t xml:space="preserve">Tabel Sumber. Artikel hanya memakai istilah clickstream activity. Nama tabel tidak disebut. Formula Agregasi. Number of logins hanya disebut sebagai nama pada Tabel 3 dan uraian Gambar 4. Tidak ada penjelasan tentang apa yang dihitung sebagai login. Pengamatan pengode (bukan dasar kode): OULAD tidak memiliki kolom login yang eksplisit, sehingga definisi fitur ini harus ditebak seluruhnya, misalnya jumlah hari aktif atau jumlah sesi. Jendela Pengamatan. Tidak disebut. Normalisasi. Z-score untuk fitur numerik. Menurut Algorithm 1, standardisasi dilakukan sebelum pembagian data latih-uji, sehingga µ dan σ tampaknya dihitung dari seluruh dataset. Nilai Kosong. Fitur numerik yang kosong diisi rata-rata fitur, dihitung sebelum pembagian data. Ketersediaan Temporal. Artikel tidak menetapkan waktu atau tahap prediksi untuk OULAD; tujuan real-time hanya disebut di pendahuluan. Keputusan berhenti di langkah 1.</t>
  </si>
  <si>
    <t xml:space="preserve">seven interconnected tables covering student demographics, assessment scores, course registration, activity logs, and withdrawal status</t>
  </si>
  <si>
    <t xml:space="preserve">Tabel Sumber. Artikel menyebut OULAD memiliki tujuh tabel yang mencakup assessment scores, tetapi tidak menyebut nama tabelnya. Tebakan pengode: studentAssessment dan assessments (untuk menentukan penilaian pertama). Formula Agregasi. First assessment atau First Assessment Score hanya disebut sebagai nama. Tidak ditulis penilaian mana yang dianggap pertama (berdasarkan tenggat atau tanggal kumpul, TMA atau CMA), apakah per presentasi, dan perlakuan bila penilaian itu tidak dikumpulkan. Ragu antara F2 dan F3, dipilih F3 sesuai Aturan 8. Jendela Pengamatan. Artikel hanya menyebut indikator ini mencerminkan kinerja awal. Rentang waktu data tidak disebut. Normalisasi. Z-score untuk fitur numerik, dilakukan sebelum pembagian data latih-uji menurut Algorithm 1. Nilai Kosong. Fitur numerik yang kosong diisi rata-rata fitur. Tidak ditulis apakah mahasiswa yang tidak mengumpulkan penilaian pertama menjadi data kosong. Ketersediaan Temporal. Artikel tidak menetapkan waktu atau tahap prediksi untuk OULAD. Keputusan berhenti di langkah 1.</t>
  </si>
  <si>
    <t xml:space="preserve">Final</t>
  </si>
  <si>
    <t xml:space="preserve">Adjudikasi</t>
  </si>
  <si>
    <t xml:space="preserve">Final. Keenam dimensi disepakati kedua pengode pada putaran P1, tanpa kandidat kode lain.</t>
  </si>
  <si>
    <t xml:space="preserve">Adjudikasi. Tabel Sumber: P1 = T8, P2 = T9. Artikel hanya menulis additional data untuk fitur ini, tanpa nama tabel atau istilah sumber yang spesifik, dan kutipan marks pada P1 menamai fitur, bukan sumbernya. Ditetapkan T9 sesuai Aturan 8 (ragu antara dua kode, pilih yang menunjukkan informasi lebih sedikit). Dimensi lain disepakati pada P1.</t>
  </si>
  <si>
    <t xml:space="preserve">Adjudikasi. Kedua pengode memilih T8 dan mencatat T2 sebagai kandidat. T2 tidak dipakai karena artikel tidak menulis bahwa jumlah klik dihitung dari gabungan tabel studentVle dan vle (Aturan 2). Semua dimensi disepakati pada P1.</t>
  </si>
  <si>
    <t xml:space="preserve">Adjudikasi. Kedua pengode memilih T8 dan mencatat T4 sebagai kandidat. T4 tidak dipakai karena artikel tidak menulis bahwa status tepat waktu dihitung dari gabungan tabel assessments dan studentAssessment (Aturan 2). Semua dimensi disepakati pada P1.</t>
  </si>
  <si>
    <t xml:space="preserve">Persen kesepakatan</t>
  </si>
  <si>
    <t xml:space="preserve">Kappa Cohen</t>
  </si>
  <si>
    <t xml:space="preserve">Kedudukan</t>
  </si>
  <si>
    <t xml:space="preserve">Nilai tengah kappa enam dimensi</t>
  </si>
  <si>
    <t xml:space="preserve">harus &gt; 0,70</t>
  </si>
  <si>
    <t xml:space="preserve">Kappa terendah enam dimensi</t>
  </si>
  <si>
    <t xml:space="preserve">harus &gt; 0,60</t>
  </si>
  <si>
    <t xml:space="preserve">Hasil aturan ambang ganda</t>
  </si>
  <si>
    <t xml:space="preserve">Nilai di lembar ini dihitung dari baris Putaran P1 saja, yaitu 16 unit per pengode, dan merupakan angka yang dilaporkan pada naskah skripsi.</t>
  </si>
  <si>
    <t xml:space="preserve">Konsep Fitur tidak dihitung karena Kode_Konsep diisi peneliti utama sebagai bagian dari definisi unit.</t>
  </si>
  <si>
    <t xml:space="preserve">Jangan menyisipkan, menghapus, atau mengurutkan ulang baris pada Lembar_Pengodean. Rumus mengasumsikan urutan unit pada blok Pengode 1 (baris 2 sampai 17) dan Pengode 2 (baris 18 sampai 33) identik.</t>
  </si>
  <si>
    <t xml:space="preserve">Adjudikasi dilakukan dengan menambah baris baru di bawah pada Lembar_Pengodean, isi Putaran dengan Final. Baris tersebut tidak ikut terhitung di sini.</t>
  </si>
</sst>
</file>

<file path=xl/styles.xml><?xml version="1.0" encoding="utf-8"?>
<styleSheet xmlns="http://schemas.openxmlformats.org/spreadsheetml/2006/main">
  <numFmts count="3">
    <numFmt numFmtId="164" formatCode="General"/>
    <numFmt numFmtId="165" formatCode="0.00%"/>
    <numFmt numFmtId="166" formatCode="0.000"/>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i val="true"/>
      <sz val="10"/>
      <name val="Arial"/>
      <family val="0"/>
      <charset val="1"/>
    </font>
    <font>
      <sz val="10"/>
      <name val="Arial"/>
      <family val="2"/>
    </font>
    <font>
      <i val="true"/>
      <sz val="9"/>
      <name val="Arial"/>
      <family val="0"/>
      <charset val="1"/>
    </font>
  </fonts>
  <fills count="7">
    <fill>
      <patternFill patternType="none"/>
    </fill>
    <fill>
      <patternFill patternType="gray125"/>
    </fill>
    <fill>
      <patternFill patternType="solid">
        <fgColor rgb="FFD9D9D9"/>
        <bgColor rgb="FFDDEBF7"/>
      </patternFill>
    </fill>
    <fill>
      <patternFill patternType="solid">
        <fgColor rgb="FFF2F2F2"/>
        <bgColor rgb="FFEAF1DD"/>
      </patternFill>
    </fill>
    <fill>
      <patternFill patternType="solid">
        <fgColor rgb="FFFFF2CC"/>
        <bgColor rgb="FFEAF1DD"/>
      </patternFill>
    </fill>
    <fill>
      <patternFill patternType="solid">
        <fgColor rgb="FFEAF1DD"/>
        <bgColor rgb="FFF2F2F2"/>
      </patternFill>
    </fill>
    <fill>
      <patternFill patternType="solid">
        <fgColor rgb="FFDDEBF7"/>
        <bgColor rgb="FFEAF1DD"/>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808080"/>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7" fillId="5" borderId="2"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0" fillId="6" borderId="1" xfId="0" applyFont="false" applyBorder="true" applyAlignment="true" applyProtection="false">
      <alignment horizontal="general" vertical="top" textRotation="0" wrapText="true" indent="0" shrinkToFit="false"/>
      <protection locked="true" hidden="false"/>
    </xf>
    <xf numFmtId="164" fontId="6" fillId="6" borderId="3"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9D9D9"/>
          <bgColor rgb="FF000000"/>
        </patternFill>
      </fill>
    </dxf>
    <dxf>
      <fill>
        <patternFill patternType="solid">
          <fgColor rgb="FFF2F2F2"/>
          <bgColor rgb="FF000000"/>
        </patternFill>
      </fill>
    </dxf>
    <dxf>
      <fill>
        <patternFill patternType="solid">
          <bgColor rgb="FF000000"/>
        </patternFill>
      </fill>
    </dxf>
    <dxf>
      <fill>
        <patternFill patternType="solid">
          <fgColor rgb="FFFFF2CC"/>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AF1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5" hidden="false" customHeight="false" outlineLevel="0" collapsed="false">
      <c r="A1" s="1" t="s">
        <v>0</v>
      </c>
      <c r="B1" s="1"/>
    </row>
    <row r="2" customFormat="false" ht="57.75" hidden="false" customHeight="true" outlineLevel="0" collapsed="false">
      <c r="A2" s="2" t="s">
        <v>1</v>
      </c>
      <c r="B2" s="2"/>
    </row>
    <row r="3" customFormat="false" ht="15" hidden="false" customHeight="false" outlineLevel="0" collapsed="false">
      <c r="A3" s="3"/>
      <c r="B3" s="3"/>
    </row>
    <row r="4" customFormat="false" ht="15" hidden="false" customHeight="false" outlineLevel="0" collapsed="false">
      <c r="A4" s="4" t="s">
        <v>2</v>
      </c>
      <c r="B4" s="4" t="s">
        <v>3</v>
      </c>
    </row>
    <row r="5" customFormat="false" ht="30" hidden="false" customHeight="true" outlineLevel="0" collapsed="false">
      <c r="A5" s="5" t="s">
        <v>4</v>
      </c>
      <c r="B5" s="6" t="s">
        <v>5</v>
      </c>
    </row>
    <row r="6" customFormat="false" ht="43.5" hidden="false" customHeight="true" outlineLevel="0" collapsed="false">
      <c r="A6" s="5" t="s">
        <v>6</v>
      </c>
      <c r="B6" s="6" t="s">
        <v>7</v>
      </c>
    </row>
    <row r="7" customFormat="false" ht="30" hidden="false" customHeight="true" outlineLevel="0" collapsed="false">
      <c r="A7" s="5" t="s">
        <v>8</v>
      </c>
      <c r="B7" s="6" t="s">
        <v>9</v>
      </c>
    </row>
    <row r="8" customFormat="false" ht="15" hidden="false" customHeight="false" outlineLevel="0" collapsed="false">
      <c r="A8" s="3"/>
      <c r="B8" s="3"/>
    </row>
    <row r="9" customFormat="false" ht="15" hidden="false" customHeight="false" outlineLevel="0" collapsed="false">
      <c r="A9" s="4" t="s">
        <v>10</v>
      </c>
      <c r="B9" s="4" t="s">
        <v>11</v>
      </c>
    </row>
    <row r="10" customFormat="false" ht="30" hidden="false" customHeight="true" outlineLevel="0" collapsed="false">
      <c r="A10" s="7" t="s">
        <v>12</v>
      </c>
      <c r="B10" s="6" t="s">
        <v>13</v>
      </c>
    </row>
    <row r="11" customFormat="false" ht="30" hidden="false" customHeight="true" outlineLevel="0" collapsed="false">
      <c r="A11" s="8" t="s">
        <v>14</v>
      </c>
      <c r="B11" s="6" t="s">
        <v>15</v>
      </c>
    </row>
    <row r="12" customFormat="false" ht="15" hidden="false" customHeight="false" outlineLevel="0" collapsed="false">
      <c r="A12" s="3"/>
      <c r="B12" s="3"/>
    </row>
    <row r="13" customFormat="false" ht="43.5" hidden="false" customHeight="true" outlineLevel="0" collapsed="false">
      <c r="A13" s="5" t="s">
        <v>16</v>
      </c>
      <c r="B13" s="6" t="s">
        <v>17</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3" activeCellId="0" sqref="A3"/>
    </sheetView>
  </sheetViews>
  <sheetFormatPr defaultColWidth="8.6328125" defaultRowHeight="14.2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8"/>
    <col collapsed="false" customWidth="true" hidden="false" outlineLevel="0" max="4" min="4" style="0" width="34"/>
    <col collapsed="false" customWidth="true" hidden="false" outlineLevel="0" max="5" min="5" style="0" width="72"/>
  </cols>
  <sheetData>
    <row r="1" customFormat="false" ht="15" hidden="false" customHeight="true" outlineLevel="0" collapsed="false">
      <c r="A1" s="9" t="s">
        <v>18</v>
      </c>
    </row>
    <row r="2" customFormat="false" ht="30" hidden="false" customHeight="true" outlineLevel="0" collapsed="false">
      <c r="A2" s="2" t="s">
        <v>19</v>
      </c>
      <c r="B2" s="2"/>
      <c r="C2" s="2"/>
      <c r="D2" s="2"/>
      <c r="E2" s="2"/>
    </row>
    <row r="4" customFormat="false" ht="23.25" hidden="false" customHeight="true" outlineLevel="0" collapsed="false">
      <c r="A4" s="10" t="s">
        <v>20</v>
      </c>
      <c r="B4" s="10" t="s">
        <v>21</v>
      </c>
      <c r="C4" s="10" t="s">
        <v>22</v>
      </c>
      <c r="D4" s="10" t="s">
        <v>23</v>
      </c>
      <c r="E4" s="10" t="s">
        <v>24</v>
      </c>
    </row>
    <row r="5" customFormat="false" ht="23.85" hidden="false" customHeight="false" outlineLevel="0" collapsed="false">
      <c r="A5" s="11" t="s">
        <v>25</v>
      </c>
      <c r="B5" s="11" t="s">
        <v>26</v>
      </c>
      <c r="C5" s="12" t="s">
        <v>27</v>
      </c>
      <c r="D5" s="6" t="s">
        <v>28</v>
      </c>
      <c r="E5" s="6" t="s">
        <v>29</v>
      </c>
    </row>
    <row r="6" customFormat="false" ht="14.25" hidden="false" customHeight="false" outlineLevel="0" collapsed="false">
      <c r="A6" s="11" t="s">
        <v>25</v>
      </c>
      <c r="B6" s="11" t="s">
        <v>26</v>
      </c>
      <c r="C6" s="12" t="s">
        <v>30</v>
      </c>
      <c r="D6" s="6" t="s">
        <v>31</v>
      </c>
      <c r="E6" s="6" t="s">
        <v>32</v>
      </c>
    </row>
    <row r="7" customFormat="false" ht="23.85" hidden="false" customHeight="false" outlineLevel="0" collapsed="false">
      <c r="A7" s="11" t="s">
        <v>25</v>
      </c>
      <c r="B7" s="11" t="s">
        <v>26</v>
      </c>
      <c r="C7" s="12" t="s">
        <v>33</v>
      </c>
      <c r="D7" s="6" t="s">
        <v>34</v>
      </c>
      <c r="E7" s="6" t="s">
        <v>35</v>
      </c>
    </row>
    <row r="8" customFormat="false" ht="14.25" hidden="false" customHeight="true" outlineLevel="0" collapsed="false">
      <c r="A8" s="13" t="s">
        <v>36</v>
      </c>
      <c r="B8" s="14"/>
      <c r="C8" s="15" t="s">
        <v>37</v>
      </c>
      <c r="D8" s="15"/>
      <c r="E8" s="15"/>
    </row>
    <row r="9" customFormat="false" ht="14.25" hidden="false" customHeight="true" outlineLevel="0" collapsed="false">
      <c r="A9" s="16" t="s">
        <v>38</v>
      </c>
      <c r="B9" s="17"/>
      <c r="C9" s="18" t="s">
        <v>39</v>
      </c>
      <c r="D9" s="18"/>
      <c r="E9" s="18"/>
    </row>
    <row r="10" customFormat="false" ht="14.25" hidden="false" customHeight="false" outlineLevel="0" collapsed="false">
      <c r="A10" s="11" t="s">
        <v>40</v>
      </c>
      <c r="B10" s="11" t="s">
        <v>41</v>
      </c>
      <c r="C10" s="12" t="s">
        <v>42</v>
      </c>
      <c r="D10" s="6" t="s">
        <v>43</v>
      </c>
      <c r="E10" s="6" t="s">
        <v>44</v>
      </c>
    </row>
    <row r="11" customFormat="false" ht="23.85" hidden="false" customHeight="false" outlineLevel="0" collapsed="false">
      <c r="A11" s="11" t="s">
        <v>40</v>
      </c>
      <c r="B11" s="11" t="s">
        <v>41</v>
      </c>
      <c r="C11" s="12" t="s">
        <v>45</v>
      </c>
      <c r="D11" s="6" t="s">
        <v>46</v>
      </c>
      <c r="E11" s="6" t="s">
        <v>47</v>
      </c>
    </row>
    <row r="12" customFormat="false" ht="14.25" hidden="false" customHeight="false" outlineLevel="0" collapsed="false">
      <c r="A12" s="11" t="s">
        <v>40</v>
      </c>
      <c r="B12" s="11" t="s">
        <v>41</v>
      </c>
      <c r="C12" s="12" t="s">
        <v>48</v>
      </c>
      <c r="D12" s="6" t="s">
        <v>49</v>
      </c>
      <c r="E12" s="6" t="s">
        <v>50</v>
      </c>
    </row>
    <row r="13" customFormat="false" ht="23.85" hidden="false" customHeight="false" outlineLevel="0" collapsed="false">
      <c r="A13" s="11" t="s">
        <v>40</v>
      </c>
      <c r="B13" s="11" t="s">
        <v>41</v>
      </c>
      <c r="C13" s="12" t="s">
        <v>51</v>
      </c>
      <c r="D13" s="6" t="s">
        <v>52</v>
      </c>
      <c r="E13" s="6" t="s">
        <v>53</v>
      </c>
    </row>
    <row r="14" customFormat="false" ht="23.85" hidden="false" customHeight="false" outlineLevel="0" collapsed="false">
      <c r="A14" s="11" t="s">
        <v>40</v>
      </c>
      <c r="B14" s="11" t="s">
        <v>41</v>
      </c>
      <c r="C14" s="12" t="s">
        <v>54</v>
      </c>
      <c r="D14" s="6" t="s">
        <v>55</v>
      </c>
      <c r="E14" s="6" t="s">
        <v>56</v>
      </c>
    </row>
    <row r="15" customFormat="false" ht="14.25" hidden="false" customHeight="false" outlineLevel="0" collapsed="false">
      <c r="A15" s="11" t="s">
        <v>40</v>
      </c>
      <c r="B15" s="11" t="s">
        <v>41</v>
      </c>
      <c r="C15" s="12" t="s">
        <v>57</v>
      </c>
      <c r="D15" s="6" t="s">
        <v>58</v>
      </c>
      <c r="E15" s="6" t="s">
        <v>59</v>
      </c>
    </row>
    <row r="16" customFormat="false" ht="23.85" hidden="false" customHeight="false" outlineLevel="0" collapsed="false">
      <c r="A16" s="11" t="s">
        <v>40</v>
      </c>
      <c r="B16" s="11" t="s">
        <v>41</v>
      </c>
      <c r="C16" s="12" t="s">
        <v>60</v>
      </c>
      <c r="D16" s="6" t="s">
        <v>61</v>
      </c>
      <c r="E16" s="6" t="s">
        <v>62</v>
      </c>
    </row>
    <row r="17" customFormat="false" ht="23.85" hidden="false" customHeight="true" outlineLevel="0" collapsed="false">
      <c r="A17" s="13" t="s">
        <v>36</v>
      </c>
      <c r="B17" s="14"/>
      <c r="C17" s="15" t="s">
        <v>63</v>
      </c>
      <c r="D17" s="15"/>
      <c r="E17" s="15"/>
    </row>
    <row r="18" customFormat="false" ht="23.85" hidden="false" customHeight="true" outlineLevel="0" collapsed="false">
      <c r="A18" s="16" t="s">
        <v>38</v>
      </c>
      <c r="B18" s="17"/>
      <c r="C18" s="18" t="s">
        <v>64</v>
      </c>
      <c r="D18" s="18"/>
      <c r="E18" s="18"/>
    </row>
    <row r="19" customFormat="false" ht="23.85" hidden="false" customHeight="false" outlineLevel="0" collapsed="false">
      <c r="A19" s="11" t="s">
        <v>65</v>
      </c>
      <c r="B19" s="11" t="s">
        <v>66</v>
      </c>
      <c r="C19" s="12" t="s">
        <v>67</v>
      </c>
      <c r="D19" s="6" t="s">
        <v>68</v>
      </c>
      <c r="E19" s="6" t="s">
        <v>69</v>
      </c>
    </row>
    <row r="20" customFormat="false" ht="23.85" hidden="false" customHeight="false" outlineLevel="0" collapsed="false">
      <c r="A20" s="11" t="s">
        <v>65</v>
      </c>
      <c r="B20" s="11" t="s">
        <v>66</v>
      </c>
      <c r="C20" s="12" t="s">
        <v>70</v>
      </c>
      <c r="D20" s="6" t="s">
        <v>71</v>
      </c>
      <c r="E20" s="6" t="s">
        <v>72</v>
      </c>
    </row>
    <row r="21" customFormat="false" ht="23.85" hidden="false" customHeight="false" outlineLevel="0" collapsed="false">
      <c r="A21" s="11" t="s">
        <v>65</v>
      </c>
      <c r="B21" s="11" t="s">
        <v>66</v>
      </c>
      <c r="C21" s="12" t="s">
        <v>73</v>
      </c>
      <c r="D21" s="6" t="s">
        <v>74</v>
      </c>
      <c r="E21" s="6" t="s">
        <v>75</v>
      </c>
    </row>
    <row r="22" customFormat="false" ht="23.85" hidden="false" customHeight="true" outlineLevel="0" collapsed="false">
      <c r="A22" s="13" t="s">
        <v>36</v>
      </c>
      <c r="B22" s="14"/>
      <c r="C22" s="15" t="s">
        <v>76</v>
      </c>
      <c r="D22" s="15"/>
      <c r="E22" s="15"/>
    </row>
    <row r="23" customFormat="false" ht="14.25" hidden="false" customHeight="true" outlineLevel="0" collapsed="false">
      <c r="A23" s="16" t="s">
        <v>38</v>
      </c>
      <c r="B23" s="17"/>
      <c r="C23" s="18" t="s">
        <v>77</v>
      </c>
      <c r="D23" s="18"/>
      <c r="E23" s="18"/>
    </row>
    <row r="24" customFormat="false" ht="14.25" hidden="false" customHeight="false" outlineLevel="0" collapsed="false">
      <c r="A24" s="11" t="s">
        <v>78</v>
      </c>
      <c r="B24" s="11" t="s">
        <v>79</v>
      </c>
      <c r="C24" s="12" t="s">
        <v>80</v>
      </c>
      <c r="D24" s="6" t="s">
        <v>81</v>
      </c>
      <c r="E24" s="6" t="s">
        <v>82</v>
      </c>
    </row>
    <row r="25" customFormat="false" ht="23.85" hidden="false" customHeight="false" outlineLevel="0" collapsed="false">
      <c r="A25" s="11" t="s">
        <v>78</v>
      </c>
      <c r="B25" s="11" t="s">
        <v>79</v>
      </c>
      <c r="C25" s="12" t="s">
        <v>83</v>
      </c>
      <c r="D25" s="6" t="s">
        <v>84</v>
      </c>
      <c r="E25" s="6" t="s">
        <v>85</v>
      </c>
    </row>
    <row r="26" customFormat="false" ht="23.85" hidden="false" customHeight="false" outlineLevel="0" collapsed="false">
      <c r="A26" s="11" t="s">
        <v>78</v>
      </c>
      <c r="B26" s="11" t="s">
        <v>79</v>
      </c>
      <c r="C26" s="12" t="s">
        <v>86</v>
      </c>
      <c r="D26" s="6" t="s">
        <v>87</v>
      </c>
      <c r="E26" s="6" t="s">
        <v>88</v>
      </c>
    </row>
    <row r="27" customFormat="false" ht="14.25" hidden="false" customHeight="false" outlineLevel="0" collapsed="false">
      <c r="A27" s="11" t="s">
        <v>78</v>
      </c>
      <c r="B27" s="11" t="s">
        <v>79</v>
      </c>
      <c r="C27" s="12" t="s">
        <v>89</v>
      </c>
      <c r="D27" s="6" t="s">
        <v>90</v>
      </c>
      <c r="E27" s="6" t="s">
        <v>91</v>
      </c>
    </row>
    <row r="28" customFormat="false" ht="14.25" hidden="false" customHeight="false" outlineLevel="0" collapsed="false">
      <c r="A28" s="11" t="s">
        <v>78</v>
      </c>
      <c r="B28" s="11" t="s">
        <v>79</v>
      </c>
      <c r="C28" s="12" t="s">
        <v>92</v>
      </c>
      <c r="D28" s="6" t="s">
        <v>93</v>
      </c>
      <c r="E28" s="6" t="s">
        <v>94</v>
      </c>
    </row>
    <row r="29" customFormat="false" ht="23.85" hidden="false" customHeight="false" outlineLevel="0" collapsed="false">
      <c r="A29" s="11" t="s">
        <v>78</v>
      </c>
      <c r="B29" s="11" t="s">
        <v>79</v>
      </c>
      <c r="C29" s="12" t="s">
        <v>95</v>
      </c>
      <c r="D29" s="6" t="s">
        <v>96</v>
      </c>
      <c r="E29" s="6" t="s">
        <v>97</v>
      </c>
    </row>
    <row r="30" customFormat="false" ht="14.25" hidden="false" customHeight="false" outlineLevel="0" collapsed="false">
      <c r="A30" s="11" t="s">
        <v>78</v>
      </c>
      <c r="B30" s="11" t="s">
        <v>79</v>
      </c>
      <c r="C30" s="12" t="s">
        <v>98</v>
      </c>
      <c r="D30" s="6" t="s">
        <v>74</v>
      </c>
      <c r="E30" s="6" t="s">
        <v>99</v>
      </c>
    </row>
    <row r="31" customFormat="false" ht="35.05" hidden="false" customHeight="true" outlineLevel="0" collapsed="false">
      <c r="A31" s="13" t="s">
        <v>36</v>
      </c>
      <c r="B31" s="14"/>
      <c r="C31" s="15" t="s">
        <v>100</v>
      </c>
      <c r="D31" s="15"/>
      <c r="E31" s="15"/>
    </row>
    <row r="32" customFormat="false" ht="14.25" hidden="false" customHeight="true" outlineLevel="0" collapsed="false">
      <c r="A32" s="16" t="s">
        <v>38</v>
      </c>
      <c r="B32" s="17"/>
      <c r="C32" s="18" t="s">
        <v>101</v>
      </c>
      <c r="D32" s="18"/>
      <c r="E32" s="18"/>
    </row>
    <row r="33" customFormat="false" ht="23.85" hidden="false" customHeight="false" outlineLevel="0" collapsed="false">
      <c r="A33" s="11" t="s">
        <v>102</v>
      </c>
      <c r="B33" s="11" t="s">
        <v>103</v>
      </c>
      <c r="C33" s="12" t="s">
        <v>104</v>
      </c>
      <c r="D33" s="6" t="s">
        <v>105</v>
      </c>
      <c r="E33" s="6" t="s">
        <v>106</v>
      </c>
    </row>
    <row r="34" customFormat="false" ht="23.85" hidden="false" customHeight="false" outlineLevel="0" collapsed="false">
      <c r="A34" s="11" t="s">
        <v>102</v>
      </c>
      <c r="B34" s="11" t="s">
        <v>103</v>
      </c>
      <c r="C34" s="12" t="s">
        <v>107</v>
      </c>
      <c r="D34" s="6" t="s">
        <v>108</v>
      </c>
      <c r="E34" s="6" t="s">
        <v>109</v>
      </c>
    </row>
    <row r="35" customFormat="false" ht="23.85" hidden="false" customHeight="false" outlineLevel="0" collapsed="false">
      <c r="A35" s="11" t="s">
        <v>102</v>
      </c>
      <c r="B35" s="11" t="s">
        <v>103</v>
      </c>
      <c r="C35" s="12" t="s">
        <v>110</v>
      </c>
      <c r="D35" s="6" t="s">
        <v>111</v>
      </c>
      <c r="E35" s="6" t="s">
        <v>112</v>
      </c>
    </row>
    <row r="36" customFormat="false" ht="14.25" hidden="false" customHeight="false" outlineLevel="0" collapsed="false">
      <c r="A36" s="11" t="s">
        <v>102</v>
      </c>
      <c r="B36" s="11" t="s">
        <v>103</v>
      </c>
      <c r="C36" s="12" t="s">
        <v>113</v>
      </c>
      <c r="D36" s="6" t="s">
        <v>114</v>
      </c>
      <c r="E36" s="6" t="s">
        <v>115</v>
      </c>
    </row>
    <row r="37" customFormat="false" ht="14.25" hidden="false" customHeight="false" outlineLevel="0" collapsed="false">
      <c r="A37" s="11" t="s">
        <v>102</v>
      </c>
      <c r="B37" s="11" t="s">
        <v>103</v>
      </c>
      <c r="C37" s="12" t="s">
        <v>116</v>
      </c>
      <c r="D37" s="6" t="s">
        <v>117</v>
      </c>
      <c r="E37" s="6" t="s">
        <v>118</v>
      </c>
    </row>
    <row r="38" customFormat="false" ht="35.05" hidden="false" customHeight="true" outlineLevel="0" collapsed="false">
      <c r="A38" s="13" t="s">
        <v>36</v>
      </c>
      <c r="B38" s="14"/>
      <c r="C38" s="15" t="s">
        <v>119</v>
      </c>
      <c r="D38" s="15"/>
      <c r="E38" s="15"/>
    </row>
    <row r="39" customFormat="false" ht="14.25" hidden="false" customHeight="true" outlineLevel="0" collapsed="false">
      <c r="A39" s="16" t="s">
        <v>38</v>
      </c>
      <c r="B39" s="17"/>
      <c r="C39" s="18" t="s">
        <v>120</v>
      </c>
      <c r="D39" s="18"/>
      <c r="E39" s="18"/>
    </row>
    <row r="40" customFormat="false" ht="14.25" hidden="false" customHeight="false" outlineLevel="0" collapsed="false">
      <c r="A40" s="11" t="s">
        <v>121</v>
      </c>
      <c r="B40" s="11" t="s">
        <v>122</v>
      </c>
      <c r="C40" s="12" t="s">
        <v>123</v>
      </c>
      <c r="D40" s="6" t="s">
        <v>124</v>
      </c>
      <c r="E40" s="6" t="s">
        <v>125</v>
      </c>
    </row>
    <row r="41" customFormat="false" ht="14.25" hidden="false" customHeight="false" outlineLevel="0" collapsed="false">
      <c r="A41" s="11" t="s">
        <v>121</v>
      </c>
      <c r="B41" s="11" t="s">
        <v>122</v>
      </c>
      <c r="C41" s="12" t="s">
        <v>126</v>
      </c>
      <c r="D41" s="6" t="s">
        <v>127</v>
      </c>
      <c r="E41" s="6" t="s">
        <v>128</v>
      </c>
    </row>
    <row r="42" customFormat="false" ht="14.25" hidden="false" customHeight="false" outlineLevel="0" collapsed="false">
      <c r="A42" s="11" t="s">
        <v>121</v>
      </c>
      <c r="B42" s="11" t="s">
        <v>122</v>
      </c>
      <c r="C42" s="12" t="s">
        <v>129</v>
      </c>
      <c r="D42" s="6" t="s">
        <v>130</v>
      </c>
      <c r="E42" s="6" t="s">
        <v>131</v>
      </c>
    </row>
    <row r="43" customFormat="false" ht="14.25" hidden="false" customHeight="false" outlineLevel="0" collapsed="false">
      <c r="A43" s="11" t="s">
        <v>121</v>
      </c>
      <c r="B43" s="11" t="s">
        <v>122</v>
      </c>
      <c r="C43" s="12" t="s">
        <v>132</v>
      </c>
      <c r="D43" s="6" t="s">
        <v>133</v>
      </c>
      <c r="E43" s="6" t="s">
        <v>134</v>
      </c>
    </row>
    <row r="44" customFormat="false" ht="14.25" hidden="false" customHeight="false" outlineLevel="0" collapsed="false">
      <c r="A44" s="11" t="s">
        <v>121</v>
      </c>
      <c r="B44" s="11" t="s">
        <v>122</v>
      </c>
      <c r="C44" s="12" t="s">
        <v>135</v>
      </c>
      <c r="D44" s="6" t="s">
        <v>136</v>
      </c>
      <c r="E44" s="6" t="s">
        <v>137</v>
      </c>
    </row>
    <row r="45" customFormat="false" ht="14.25" hidden="false" customHeight="false" outlineLevel="0" collapsed="false">
      <c r="A45" s="11" t="s">
        <v>121</v>
      </c>
      <c r="B45" s="11" t="s">
        <v>122</v>
      </c>
      <c r="C45" s="12" t="s">
        <v>138</v>
      </c>
      <c r="D45" s="6" t="s">
        <v>139</v>
      </c>
      <c r="E45" s="6" t="s">
        <v>140</v>
      </c>
    </row>
    <row r="46" customFormat="false" ht="14.25" hidden="false" customHeight="false" outlineLevel="0" collapsed="false">
      <c r="A46" s="11" t="s">
        <v>121</v>
      </c>
      <c r="B46" s="11" t="s">
        <v>122</v>
      </c>
      <c r="C46" s="12" t="s">
        <v>141</v>
      </c>
      <c r="D46" s="6" t="s">
        <v>117</v>
      </c>
      <c r="E46" s="6" t="s">
        <v>142</v>
      </c>
    </row>
    <row r="47" customFormat="false" ht="23.85" hidden="false" customHeight="true" outlineLevel="0" collapsed="false">
      <c r="A47" s="13" t="s">
        <v>36</v>
      </c>
      <c r="B47" s="14"/>
      <c r="C47" s="15" t="s">
        <v>143</v>
      </c>
      <c r="D47" s="15"/>
      <c r="E47" s="15"/>
    </row>
    <row r="48" customFormat="false" ht="14.25" hidden="false" customHeight="true" outlineLevel="0" collapsed="false">
      <c r="A48" s="16" t="s">
        <v>38</v>
      </c>
      <c r="B48" s="17"/>
      <c r="C48" s="18" t="s">
        <v>144</v>
      </c>
      <c r="D48" s="18"/>
      <c r="E48" s="18"/>
    </row>
    <row r="49" customFormat="false" ht="23.85" hidden="false" customHeight="false" outlineLevel="0" collapsed="false">
      <c r="A49" s="11" t="s">
        <v>145</v>
      </c>
      <c r="B49" s="11" t="s">
        <v>146</v>
      </c>
      <c r="C49" s="12" t="s">
        <v>147</v>
      </c>
      <c r="D49" s="6" t="s">
        <v>148</v>
      </c>
      <c r="E49" s="6" t="s">
        <v>149</v>
      </c>
    </row>
    <row r="50" customFormat="false" ht="23.85" hidden="false" customHeight="false" outlineLevel="0" collapsed="false">
      <c r="A50" s="11" t="s">
        <v>145</v>
      </c>
      <c r="B50" s="11" t="s">
        <v>146</v>
      </c>
      <c r="C50" s="12" t="s">
        <v>150</v>
      </c>
      <c r="D50" s="6" t="s">
        <v>151</v>
      </c>
      <c r="E50" s="6" t="s">
        <v>152</v>
      </c>
    </row>
    <row r="51" customFormat="false" ht="14.25" hidden="false" customHeight="false" outlineLevel="0" collapsed="false">
      <c r="A51" s="11" t="s">
        <v>145</v>
      </c>
      <c r="B51" s="11" t="s">
        <v>146</v>
      </c>
      <c r="C51" s="12" t="s">
        <v>153</v>
      </c>
      <c r="D51" s="6" t="s">
        <v>154</v>
      </c>
      <c r="E51" s="6" t="s">
        <v>155</v>
      </c>
    </row>
    <row r="52" customFormat="false" ht="35.05" hidden="false" customHeight="true" outlineLevel="0" collapsed="false">
      <c r="A52" s="13" t="s">
        <v>36</v>
      </c>
      <c r="B52" s="14"/>
      <c r="C52" s="15" t="s">
        <v>156</v>
      </c>
      <c r="D52" s="15"/>
      <c r="E52" s="15"/>
    </row>
  </sheetData>
  <mergeCells count="14">
    <mergeCell ref="A2:E2"/>
    <mergeCell ref="C8:E8"/>
    <mergeCell ref="C9:E9"/>
    <mergeCell ref="C17:E17"/>
    <mergeCell ref="C18:E18"/>
    <mergeCell ref="C22:E22"/>
    <mergeCell ref="C23:E23"/>
    <mergeCell ref="C31:E31"/>
    <mergeCell ref="C32:E32"/>
    <mergeCell ref="C38:E38"/>
    <mergeCell ref="C39:E39"/>
    <mergeCell ref="C47:E47"/>
    <mergeCell ref="C48:E48"/>
    <mergeCell ref="C52:E5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C33" activeCellId="0" sqref="C33"/>
    </sheetView>
  </sheetViews>
  <sheetFormatPr defaultColWidth="8.6328125" defaultRowHeight="14.25" zeroHeight="false" outlineLevelRow="0" outlineLevelCol="0"/>
  <cols>
    <col collapsed="false" customWidth="true" hidden="false" outlineLevel="0" max="1" min="1" style="0" width="24"/>
    <col collapsed="false" customWidth="true" hidden="false" outlineLevel="0" max="2" min="2" style="0" width="9"/>
    <col collapsed="false" customWidth="true" hidden="false" outlineLevel="0" max="3" min="3" style="0" width="11"/>
    <col collapsed="false" customWidth="true" hidden="false" outlineLevel="0" max="4" min="4" style="0" width="20"/>
    <col collapsed="false" customWidth="true" hidden="false" outlineLevel="0" max="5" min="5" style="0" width="34"/>
    <col collapsed="false" customWidth="true" hidden="false" outlineLevel="0" max="7" min="6" style="0" width="9"/>
    <col collapsed="false" customWidth="true" hidden="false" outlineLevel="0" max="8" min="8" style="0" width="40"/>
    <col collapsed="false" customWidth="true" hidden="false" outlineLevel="0" max="9" min="9" style="0" width="9"/>
    <col collapsed="false" customWidth="true" hidden="false" outlineLevel="0" max="10" min="10" style="0" width="40"/>
    <col collapsed="false" customWidth="true" hidden="false" outlineLevel="0" max="11" min="11" style="0" width="9"/>
    <col collapsed="false" customWidth="true" hidden="false" outlineLevel="0" max="12" min="12" style="0" width="40"/>
    <col collapsed="false" customWidth="true" hidden="false" outlineLevel="0" max="13" min="13" style="0" width="9"/>
    <col collapsed="false" customWidth="true" hidden="false" outlineLevel="0" max="14" min="14" style="0" width="40"/>
    <col collapsed="false" customWidth="true" hidden="false" outlineLevel="0" max="15" min="15" style="0" width="9"/>
    <col collapsed="false" customWidth="true" hidden="false" outlineLevel="0" max="16" min="16" style="0" width="40"/>
    <col collapsed="false" customWidth="true" hidden="false" outlineLevel="0" max="17" min="17" style="0" width="9"/>
    <col collapsed="false" customWidth="true" hidden="false" outlineLevel="0" max="18" min="18" style="0" width="40"/>
    <col collapsed="false" customWidth="true" hidden="false" outlineLevel="0" max="19" min="19" style="0" width="34"/>
    <col collapsed="false" customWidth="true" hidden="false" outlineLevel="0" max="20" min="20" style="0" width="13"/>
    <col collapsed="false" customWidth="true" hidden="false" outlineLevel="0" max="21" min="21" style="0" width="70"/>
  </cols>
  <sheetData>
    <row r="1" customFormat="false" ht="36" hidden="false" customHeight="true" outlineLevel="0" collapsed="false">
      <c r="A1" s="19" t="s">
        <v>157</v>
      </c>
      <c r="B1" s="19" t="s">
        <v>158</v>
      </c>
      <c r="C1" s="19" t="s">
        <v>159</v>
      </c>
      <c r="D1" s="19" t="s">
        <v>160</v>
      </c>
      <c r="E1" s="19" t="s">
        <v>161</v>
      </c>
      <c r="F1" s="19" t="s">
        <v>26</v>
      </c>
      <c r="G1" s="19" t="s">
        <v>41</v>
      </c>
      <c r="H1" s="19" t="s">
        <v>162</v>
      </c>
      <c r="I1" s="19" t="s">
        <v>66</v>
      </c>
      <c r="J1" s="19" t="s">
        <v>163</v>
      </c>
      <c r="K1" s="19" t="s">
        <v>79</v>
      </c>
      <c r="L1" s="19" t="s">
        <v>164</v>
      </c>
      <c r="M1" s="19" t="s">
        <v>103</v>
      </c>
      <c r="N1" s="19" t="s">
        <v>165</v>
      </c>
      <c r="O1" s="19" t="s">
        <v>122</v>
      </c>
      <c r="P1" s="19" t="s">
        <v>166</v>
      </c>
      <c r="Q1" s="19" t="s">
        <v>146</v>
      </c>
      <c r="R1" s="19" t="s">
        <v>167</v>
      </c>
      <c r="S1" s="19" t="s">
        <v>168</v>
      </c>
      <c r="T1" s="19" t="s">
        <v>169</v>
      </c>
      <c r="U1" s="19" t="s">
        <v>170</v>
      </c>
    </row>
    <row r="2" customFormat="false" ht="135.8" hidden="false" customHeight="false" outlineLevel="0" collapsed="false">
      <c r="A2" s="20" t="s">
        <v>171</v>
      </c>
      <c r="B2" s="20" t="s">
        <v>172</v>
      </c>
      <c r="C2" s="20" t="s">
        <v>173</v>
      </c>
      <c r="D2" s="20" t="s">
        <v>174</v>
      </c>
      <c r="E2" s="20" t="s">
        <v>175</v>
      </c>
      <c r="F2" s="20" t="s">
        <v>27</v>
      </c>
      <c r="G2" s="21" t="s">
        <v>57</v>
      </c>
      <c r="H2" s="21" t="s">
        <v>176</v>
      </c>
      <c r="I2" s="21" t="s">
        <v>73</v>
      </c>
      <c r="J2" s="21" t="s">
        <v>177</v>
      </c>
      <c r="K2" s="21" t="s">
        <v>98</v>
      </c>
      <c r="L2" s="21" t="s">
        <v>178</v>
      </c>
      <c r="M2" s="21" t="s">
        <v>104</v>
      </c>
      <c r="N2" s="21" t="s">
        <v>179</v>
      </c>
      <c r="O2" s="21" t="s">
        <v>141</v>
      </c>
      <c r="P2" s="21" t="s">
        <v>180</v>
      </c>
      <c r="Q2" s="21" t="s">
        <v>153</v>
      </c>
      <c r="R2" s="21" t="s">
        <v>178</v>
      </c>
      <c r="S2" s="21" t="s">
        <v>181</v>
      </c>
      <c r="T2" s="21" t="s">
        <v>182</v>
      </c>
      <c r="U2" s="21" t="s">
        <v>183</v>
      </c>
    </row>
    <row r="3" customFormat="false" ht="135.8" hidden="false" customHeight="false" outlineLevel="0" collapsed="false">
      <c r="A3" s="20" t="s">
        <v>184</v>
      </c>
      <c r="B3" s="20" t="s">
        <v>172</v>
      </c>
      <c r="C3" s="20" t="s">
        <v>173</v>
      </c>
      <c r="D3" s="20" t="s">
        <v>174</v>
      </c>
      <c r="E3" s="20" t="s">
        <v>185</v>
      </c>
      <c r="F3" s="20" t="s">
        <v>27</v>
      </c>
      <c r="G3" s="21" t="s">
        <v>57</v>
      </c>
      <c r="H3" s="21" t="s">
        <v>176</v>
      </c>
      <c r="I3" s="21" t="s">
        <v>70</v>
      </c>
      <c r="J3" s="21" t="s">
        <v>186</v>
      </c>
      <c r="K3" s="21" t="s">
        <v>98</v>
      </c>
      <c r="L3" s="21" t="s">
        <v>178</v>
      </c>
      <c r="M3" s="21" t="s">
        <v>104</v>
      </c>
      <c r="N3" s="21" t="s">
        <v>187</v>
      </c>
      <c r="O3" s="21" t="s">
        <v>141</v>
      </c>
      <c r="P3" s="21" t="s">
        <v>180</v>
      </c>
      <c r="Q3" s="21" t="s">
        <v>153</v>
      </c>
      <c r="R3" s="21" t="s">
        <v>178</v>
      </c>
      <c r="S3" s="21" t="s">
        <v>188</v>
      </c>
      <c r="T3" s="21" t="s">
        <v>182</v>
      </c>
      <c r="U3" s="21" t="s">
        <v>189</v>
      </c>
    </row>
    <row r="4" customFormat="false" ht="147" hidden="false" customHeight="false" outlineLevel="0" collapsed="false">
      <c r="A4" s="20" t="s">
        <v>190</v>
      </c>
      <c r="B4" s="20" t="s">
        <v>172</v>
      </c>
      <c r="C4" s="20" t="s">
        <v>173</v>
      </c>
      <c r="D4" s="20" t="s">
        <v>191</v>
      </c>
      <c r="E4" s="20" t="s">
        <v>192</v>
      </c>
      <c r="F4" s="20" t="s">
        <v>27</v>
      </c>
      <c r="G4" s="21" t="s">
        <v>57</v>
      </c>
      <c r="H4" s="21" t="s">
        <v>193</v>
      </c>
      <c r="I4" s="21" t="s">
        <v>70</v>
      </c>
      <c r="J4" s="21" t="s">
        <v>194</v>
      </c>
      <c r="K4" s="21" t="s">
        <v>86</v>
      </c>
      <c r="L4" s="21" t="s">
        <v>195</v>
      </c>
      <c r="M4" s="21" t="s">
        <v>116</v>
      </c>
      <c r="N4" s="21" t="s">
        <v>178</v>
      </c>
      <c r="O4" s="21" t="s">
        <v>141</v>
      </c>
      <c r="P4" s="21" t="s">
        <v>196</v>
      </c>
      <c r="Q4" s="21" t="s">
        <v>150</v>
      </c>
      <c r="R4" s="21" t="s">
        <v>197</v>
      </c>
      <c r="S4" s="21" t="s">
        <v>198</v>
      </c>
      <c r="T4" s="21" t="s">
        <v>182</v>
      </c>
      <c r="U4" s="21" t="s">
        <v>199</v>
      </c>
    </row>
    <row r="5" customFormat="false" ht="147" hidden="false" customHeight="false" outlineLevel="0" collapsed="false">
      <c r="A5" s="20" t="s">
        <v>200</v>
      </c>
      <c r="B5" s="20" t="s">
        <v>172</v>
      </c>
      <c r="C5" s="20" t="s">
        <v>173</v>
      </c>
      <c r="D5" s="20" t="s">
        <v>191</v>
      </c>
      <c r="E5" s="20" t="s">
        <v>201</v>
      </c>
      <c r="F5" s="20" t="s">
        <v>27</v>
      </c>
      <c r="G5" s="21" t="s">
        <v>57</v>
      </c>
      <c r="H5" s="21" t="s">
        <v>193</v>
      </c>
      <c r="I5" s="21" t="s">
        <v>70</v>
      </c>
      <c r="J5" s="21" t="s">
        <v>202</v>
      </c>
      <c r="K5" s="21" t="s">
        <v>86</v>
      </c>
      <c r="L5" s="21" t="s">
        <v>195</v>
      </c>
      <c r="M5" s="21" t="s">
        <v>116</v>
      </c>
      <c r="N5" s="21" t="s">
        <v>178</v>
      </c>
      <c r="O5" s="21" t="s">
        <v>141</v>
      </c>
      <c r="P5" s="21" t="s">
        <v>196</v>
      </c>
      <c r="Q5" s="21" t="s">
        <v>150</v>
      </c>
      <c r="R5" s="21" t="s">
        <v>203</v>
      </c>
      <c r="S5" s="21" t="s">
        <v>204</v>
      </c>
      <c r="T5" s="21" t="s">
        <v>182</v>
      </c>
      <c r="U5" s="21" t="s">
        <v>205</v>
      </c>
    </row>
    <row r="6" customFormat="false" ht="135.8" hidden="false" customHeight="false" outlineLevel="0" collapsed="false">
      <c r="A6" s="20" t="s">
        <v>206</v>
      </c>
      <c r="B6" s="20" t="s">
        <v>172</v>
      </c>
      <c r="C6" s="20" t="s">
        <v>173</v>
      </c>
      <c r="D6" s="20" t="s">
        <v>191</v>
      </c>
      <c r="E6" s="20" t="s">
        <v>207</v>
      </c>
      <c r="F6" s="20" t="s">
        <v>30</v>
      </c>
      <c r="G6" s="21" t="s">
        <v>57</v>
      </c>
      <c r="H6" s="21" t="s">
        <v>208</v>
      </c>
      <c r="I6" s="21" t="s">
        <v>73</v>
      </c>
      <c r="J6" s="21" t="s">
        <v>209</v>
      </c>
      <c r="K6" s="21" t="s">
        <v>86</v>
      </c>
      <c r="L6" s="21" t="s">
        <v>195</v>
      </c>
      <c r="M6" s="21" t="s">
        <v>116</v>
      </c>
      <c r="N6" s="21" t="s">
        <v>178</v>
      </c>
      <c r="O6" s="21" t="s">
        <v>141</v>
      </c>
      <c r="P6" s="21" t="s">
        <v>196</v>
      </c>
      <c r="Q6" s="21" t="s">
        <v>150</v>
      </c>
      <c r="R6" s="21" t="s">
        <v>210</v>
      </c>
      <c r="S6" s="21" t="s">
        <v>211</v>
      </c>
      <c r="T6" s="21" t="s">
        <v>182</v>
      </c>
      <c r="U6" s="21" t="s">
        <v>212</v>
      </c>
    </row>
    <row r="7" customFormat="false" ht="158.2" hidden="false" customHeight="false" outlineLevel="0" collapsed="false">
      <c r="A7" s="20" t="s">
        <v>213</v>
      </c>
      <c r="B7" s="20" t="s">
        <v>172</v>
      </c>
      <c r="C7" s="20" t="s">
        <v>173</v>
      </c>
      <c r="D7" s="20" t="s">
        <v>214</v>
      </c>
      <c r="E7" s="20" t="s">
        <v>215</v>
      </c>
      <c r="F7" s="20" t="s">
        <v>27</v>
      </c>
      <c r="G7" s="21" t="s">
        <v>42</v>
      </c>
      <c r="H7" s="21" t="s">
        <v>216</v>
      </c>
      <c r="I7" s="21" t="s">
        <v>73</v>
      </c>
      <c r="J7" s="21" t="s">
        <v>217</v>
      </c>
      <c r="K7" s="21" t="s">
        <v>83</v>
      </c>
      <c r="L7" s="21" t="s">
        <v>218</v>
      </c>
      <c r="M7" s="21" t="s">
        <v>107</v>
      </c>
      <c r="N7" s="21" t="s">
        <v>219</v>
      </c>
      <c r="O7" s="21" t="s">
        <v>138</v>
      </c>
      <c r="P7" s="21" t="s">
        <v>220</v>
      </c>
      <c r="Q7" s="21" t="s">
        <v>150</v>
      </c>
      <c r="R7" s="21" t="s">
        <v>221</v>
      </c>
      <c r="S7" s="21" t="s">
        <v>222</v>
      </c>
      <c r="T7" s="21" t="s">
        <v>182</v>
      </c>
      <c r="U7" s="21" t="s">
        <v>223</v>
      </c>
    </row>
    <row r="8" customFormat="false" ht="135.8" hidden="false" customHeight="false" outlineLevel="0" collapsed="false">
      <c r="A8" s="20" t="s">
        <v>224</v>
      </c>
      <c r="B8" s="20" t="s">
        <v>172</v>
      </c>
      <c r="C8" s="20" t="s">
        <v>173</v>
      </c>
      <c r="D8" s="20" t="s">
        <v>214</v>
      </c>
      <c r="E8" s="20" t="s">
        <v>225</v>
      </c>
      <c r="F8" s="20" t="s">
        <v>30</v>
      </c>
      <c r="G8" s="21" t="s">
        <v>57</v>
      </c>
      <c r="H8" s="21" t="s">
        <v>226</v>
      </c>
      <c r="I8" s="21" t="s">
        <v>73</v>
      </c>
      <c r="J8" s="21" t="s">
        <v>227</v>
      </c>
      <c r="K8" s="21" t="s">
        <v>83</v>
      </c>
      <c r="L8" s="21" t="s">
        <v>218</v>
      </c>
      <c r="M8" s="21" t="s">
        <v>107</v>
      </c>
      <c r="N8" s="21" t="s">
        <v>228</v>
      </c>
      <c r="O8" s="21" t="s">
        <v>138</v>
      </c>
      <c r="P8" s="21" t="s">
        <v>220</v>
      </c>
      <c r="Q8" s="21" t="s">
        <v>150</v>
      </c>
      <c r="R8" s="21" t="s">
        <v>221</v>
      </c>
      <c r="S8" s="21" t="s">
        <v>222</v>
      </c>
      <c r="T8" s="21" t="s">
        <v>182</v>
      </c>
      <c r="U8" s="21" t="s">
        <v>229</v>
      </c>
    </row>
    <row r="9" customFormat="false" ht="124.6" hidden="false" customHeight="false" outlineLevel="0" collapsed="false">
      <c r="A9" s="20" t="s">
        <v>230</v>
      </c>
      <c r="B9" s="20" t="s">
        <v>172</v>
      </c>
      <c r="C9" s="20" t="s">
        <v>173</v>
      </c>
      <c r="D9" s="20" t="s">
        <v>231</v>
      </c>
      <c r="E9" s="20" t="s">
        <v>232</v>
      </c>
      <c r="F9" s="20" t="s">
        <v>27</v>
      </c>
      <c r="G9" s="21" t="s">
        <v>42</v>
      </c>
      <c r="H9" s="21" t="s">
        <v>233</v>
      </c>
      <c r="I9" s="21" t="s">
        <v>70</v>
      </c>
      <c r="J9" s="21" t="s">
        <v>234</v>
      </c>
      <c r="K9" s="21" t="s">
        <v>80</v>
      </c>
      <c r="L9" s="21" t="s">
        <v>235</v>
      </c>
      <c r="M9" s="21" t="s">
        <v>107</v>
      </c>
      <c r="N9" s="21" t="s">
        <v>236</v>
      </c>
      <c r="O9" s="21" t="s">
        <v>129</v>
      </c>
      <c r="P9" s="21" t="s">
        <v>237</v>
      </c>
      <c r="Q9" s="21" t="s">
        <v>153</v>
      </c>
      <c r="R9" s="21" t="s">
        <v>178</v>
      </c>
      <c r="S9" s="21" t="s">
        <v>238</v>
      </c>
      <c r="T9" s="21" t="s">
        <v>182</v>
      </c>
      <c r="U9" s="21" t="s">
        <v>239</v>
      </c>
    </row>
    <row r="10" customFormat="false" ht="79.85" hidden="false" customHeight="false" outlineLevel="0" collapsed="false">
      <c r="A10" s="20" t="s">
        <v>240</v>
      </c>
      <c r="B10" s="20" t="s">
        <v>172</v>
      </c>
      <c r="C10" s="20" t="s">
        <v>173</v>
      </c>
      <c r="D10" s="20" t="s">
        <v>231</v>
      </c>
      <c r="E10" s="20" t="s">
        <v>241</v>
      </c>
      <c r="F10" s="20" t="s">
        <v>30</v>
      </c>
      <c r="G10" s="21" t="s">
        <v>48</v>
      </c>
      <c r="H10" s="21" t="s">
        <v>242</v>
      </c>
      <c r="I10" s="21" t="s">
        <v>70</v>
      </c>
      <c r="J10" s="21" t="s">
        <v>243</v>
      </c>
      <c r="K10" s="21" t="s">
        <v>98</v>
      </c>
      <c r="L10" s="21" t="s">
        <v>244</v>
      </c>
      <c r="M10" s="21" t="s">
        <v>107</v>
      </c>
      <c r="N10" s="21" t="s">
        <v>236</v>
      </c>
      <c r="O10" s="21" t="s">
        <v>129</v>
      </c>
      <c r="P10" s="21" t="s">
        <v>237</v>
      </c>
      <c r="Q10" s="21" t="s">
        <v>153</v>
      </c>
      <c r="R10" s="21" t="s">
        <v>178</v>
      </c>
      <c r="S10" s="21" t="s">
        <v>245</v>
      </c>
      <c r="T10" s="21" t="s">
        <v>182</v>
      </c>
      <c r="U10" s="21" t="s">
        <v>246</v>
      </c>
    </row>
    <row r="11" customFormat="false" ht="79.85" hidden="false" customHeight="false" outlineLevel="0" collapsed="false">
      <c r="A11" s="20" t="s">
        <v>247</v>
      </c>
      <c r="B11" s="20" t="s">
        <v>172</v>
      </c>
      <c r="C11" s="20" t="s">
        <v>173</v>
      </c>
      <c r="D11" s="20" t="s">
        <v>231</v>
      </c>
      <c r="E11" s="20" t="s">
        <v>248</v>
      </c>
      <c r="F11" s="20" t="s">
        <v>30</v>
      </c>
      <c r="G11" s="21" t="s">
        <v>57</v>
      </c>
      <c r="H11" s="21" t="s">
        <v>249</v>
      </c>
      <c r="I11" s="21" t="s">
        <v>73</v>
      </c>
      <c r="J11" s="21" t="s">
        <v>250</v>
      </c>
      <c r="K11" s="21" t="s">
        <v>98</v>
      </c>
      <c r="L11" s="21" t="s">
        <v>178</v>
      </c>
      <c r="M11" s="21" t="s">
        <v>107</v>
      </c>
      <c r="N11" s="21" t="s">
        <v>236</v>
      </c>
      <c r="O11" s="21" t="s">
        <v>129</v>
      </c>
      <c r="P11" s="21" t="s">
        <v>237</v>
      </c>
      <c r="Q11" s="21" t="s">
        <v>153</v>
      </c>
      <c r="R11" s="21" t="s">
        <v>178</v>
      </c>
      <c r="S11" s="21" t="s">
        <v>251</v>
      </c>
      <c r="T11" s="21" t="s">
        <v>182</v>
      </c>
      <c r="U11" s="21" t="s">
        <v>252</v>
      </c>
    </row>
    <row r="12" customFormat="false" ht="91" hidden="false" customHeight="false" outlineLevel="0" collapsed="false">
      <c r="A12" s="20" t="s">
        <v>253</v>
      </c>
      <c r="B12" s="20" t="s">
        <v>172</v>
      </c>
      <c r="C12" s="20" t="s">
        <v>173</v>
      </c>
      <c r="D12" s="20" t="s">
        <v>231</v>
      </c>
      <c r="E12" s="20" t="s">
        <v>254</v>
      </c>
      <c r="F12" s="20" t="s">
        <v>33</v>
      </c>
      <c r="G12" s="21" t="s">
        <v>60</v>
      </c>
      <c r="H12" s="21" t="s">
        <v>178</v>
      </c>
      <c r="I12" s="21" t="s">
        <v>70</v>
      </c>
      <c r="J12" s="21" t="s">
        <v>255</v>
      </c>
      <c r="K12" s="21" t="s">
        <v>98</v>
      </c>
      <c r="L12" s="21" t="s">
        <v>178</v>
      </c>
      <c r="M12" s="21" t="s">
        <v>107</v>
      </c>
      <c r="N12" s="21" t="s">
        <v>236</v>
      </c>
      <c r="O12" s="21" t="s">
        <v>129</v>
      </c>
      <c r="P12" s="21" t="s">
        <v>237</v>
      </c>
      <c r="Q12" s="21" t="s">
        <v>153</v>
      </c>
      <c r="R12" s="21" t="s">
        <v>178</v>
      </c>
      <c r="S12" s="21" t="s">
        <v>251</v>
      </c>
      <c r="T12" s="21" t="s">
        <v>182</v>
      </c>
      <c r="U12" s="21" t="s">
        <v>256</v>
      </c>
    </row>
    <row r="13" customFormat="false" ht="124.6" hidden="false" customHeight="false" outlineLevel="0" collapsed="false">
      <c r="A13" s="20" t="s">
        <v>257</v>
      </c>
      <c r="B13" s="20" t="s">
        <v>172</v>
      </c>
      <c r="C13" s="20" t="s">
        <v>173</v>
      </c>
      <c r="D13" s="20" t="s">
        <v>258</v>
      </c>
      <c r="E13" s="20" t="s">
        <v>259</v>
      </c>
      <c r="F13" s="20" t="s">
        <v>27</v>
      </c>
      <c r="G13" s="21" t="s">
        <v>57</v>
      </c>
      <c r="H13" s="21" t="s">
        <v>260</v>
      </c>
      <c r="I13" s="21" t="s">
        <v>70</v>
      </c>
      <c r="J13" s="21" t="s">
        <v>261</v>
      </c>
      <c r="K13" s="21" t="s">
        <v>95</v>
      </c>
      <c r="L13" s="21" t="s">
        <v>262</v>
      </c>
      <c r="M13" s="21" t="s">
        <v>116</v>
      </c>
      <c r="N13" s="21" t="s">
        <v>178</v>
      </c>
      <c r="O13" s="21" t="s">
        <v>141</v>
      </c>
      <c r="P13" s="21" t="s">
        <v>263</v>
      </c>
      <c r="Q13" s="21" t="s">
        <v>153</v>
      </c>
      <c r="R13" s="21" t="s">
        <v>178</v>
      </c>
      <c r="S13" s="21" t="s">
        <v>264</v>
      </c>
      <c r="T13" s="21" t="s">
        <v>182</v>
      </c>
      <c r="U13" s="21" t="s">
        <v>265</v>
      </c>
    </row>
    <row r="14" customFormat="false" ht="135.8" hidden="false" customHeight="false" outlineLevel="0" collapsed="false">
      <c r="A14" s="20" t="s">
        <v>266</v>
      </c>
      <c r="B14" s="20" t="s">
        <v>172</v>
      </c>
      <c r="C14" s="20" t="s">
        <v>173</v>
      </c>
      <c r="D14" s="20" t="s">
        <v>258</v>
      </c>
      <c r="E14" s="20" t="s">
        <v>267</v>
      </c>
      <c r="F14" s="20" t="s">
        <v>33</v>
      </c>
      <c r="G14" s="21" t="s">
        <v>57</v>
      </c>
      <c r="H14" s="21" t="s">
        <v>268</v>
      </c>
      <c r="I14" s="21" t="s">
        <v>70</v>
      </c>
      <c r="J14" s="21" t="s">
        <v>269</v>
      </c>
      <c r="K14" s="21" t="s">
        <v>98</v>
      </c>
      <c r="L14" s="21" t="s">
        <v>178</v>
      </c>
      <c r="M14" s="21" t="s">
        <v>116</v>
      </c>
      <c r="N14" s="21" t="s">
        <v>178</v>
      </c>
      <c r="O14" s="21" t="s">
        <v>138</v>
      </c>
      <c r="P14" s="21" t="s">
        <v>270</v>
      </c>
      <c r="Q14" s="21" t="s">
        <v>153</v>
      </c>
      <c r="R14" s="21" t="s">
        <v>178</v>
      </c>
      <c r="S14" s="21" t="s">
        <v>271</v>
      </c>
      <c r="T14" s="21" t="s">
        <v>182</v>
      </c>
      <c r="U14" s="21" t="s">
        <v>272</v>
      </c>
    </row>
    <row r="15" customFormat="false" ht="135.8" hidden="false" customHeight="false" outlineLevel="0" collapsed="false">
      <c r="A15" s="20" t="s">
        <v>273</v>
      </c>
      <c r="B15" s="20" t="s">
        <v>172</v>
      </c>
      <c r="C15" s="20" t="s">
        <v>173</v>
      </c>
      <c r="D15" s="20" t="s">
        <v>274</v>
      </c>
      <c r="E15" s="20" t="s">
        <v>275</v>
      </c>
      <c r="F15" s="20" t="s">
        <v>27</v>
      </c>
      <c r="G15" s="21" t="s">
        <v>57</v>
      </c>
      <c r="H15" s="21" t="s">
        <v>276</v>
      </c>
      <c r="I15" s="21" t="s">
        <v>73</v>
      </c>
      <c r="J15" s="21" t="s">
        <v>277</v>
      </c>
      <c r="K15" s="21" t="s">
        <v>98</v>
      </c>
      <c r="L15" s="21" t="s">
        <v>178</v>
      </c>
      <c r="M15" s="21" t="s">
        <v>104</v>
      </c>
      <c r="N15" s="21" t="s">
        <v>278</v>
      </c>
      <c r="O15" s="21" t="s">
        <v>126</v>
      </c>
      <c r="P15" s="21" t="s">
        <v>279</v>
      </c>
      <c r="Q15" s="21" t="s">
        <v>153</v>
      </c>
      <c r="R15" s="21" t="s">
        <v>178</v>
      </c>
      <c r="S15" s="21" t="s">
        <v>280</v>
      </c>
      <c r="T15" s="21" t="s">
        <v>182</v>
      </c>
      <c r="U15" s="21" t="s">
        <v>281</v>
      </c>
    </row>
    <row r="16" customFormat="false" ht="102.2" hidden="false" customHeight="false" outlineLevel="0" collapsed="false">
      <c r="A16" s="20" t="s">
        <v>282</v>
      </c>
      <c r="B16" s="20" t="s">
        <v>172</v>
      </c>
      <c r="C16" s="20" t="s">
        <v>173</v>
      </c>
      <c r="D16" s="20" t="s">
        <v>274</v>
      </c>
      <c r="E16" s="20" t="s">
        <v>283</v>
      </c>
      <c r="F16" s="20" t="s">
        <v>27</v>
      </c>
      <c r="G16" s="21" t="s">
        <v>57</v>
      </c>
      <c r="H16" s="21" t="s">
        <v>284</v>
      </c>
      <c r="I16" s="21" t="s">
        <v>73</v>
      </c>
      <c r="J16" s="21" t="s">
        <v>285</v>
      </c>
      <c r="K16" s="21" t="s">
        <v>98</v>
      </c>
      <c r="L16" s="21" t="s">
        <v>178</v>
      </c>
      <c r="M16" s="21" t="s">
        <v>104</v>
      </c>
      <c r="N16" s="21" t="s">
        <v>278</v>
      </c>
      <c r="O16" s="21" t="s">
        <v>126</v>
      </c>
      <c r="P16" s="21" t="s">
        <v>279</v>
      </c>
      <c r="Q16" s="21" t="s">
        <v>153</v>
      </c>
      <c r="R16" s="21" t="s">
        <v>178</v>
      </c>
      <c r="S16" s="21" t="s">
        <v>286</v>
      </c>
      <c r="T16" s="21" t="s">
        <v>182</v>
      </c>
      <c r="U16" s="21" t="s">
        <v>287</v>
      </c>
    </row>
    <row r="17" customFormat="false" ht="102.2" hidden="false" customHeight="false" outlineLevel="0" collapsed="false">
      <c r="A17" s="20" t="s">
        <v>288</v>
      </c>
      <c r="B17" s="20" t="s">
        <v>172</v>
      </c>
      <c r="C17" s="20" t="s">
        <v>173</v>
      </c>
      <c r="D17" s="20" t="s">
        <v>274</v>
      </c>
      <c r="E17" s="20" t="s">
        <v>289</v>
      </c>
      <c r="F17" s="20" t="s">
        <v>30</v>
      </c>
      <c r="G17" s="21" t="s">
        <v>57</v>
      </c>
      <c r="H17" s="21" t="s">
        <v>290</v>
      </c>
      <c r="I17" s="21" t="s">
        <v>73</v>
      </c>
      <c r="J17" s="21" t="s">
        <v>291</v>
      </c>
      <c r="K17" s="21" t="s">
        <v>98</v>
      </c>
      <c r="L17" s="21" t="s">
        <v>178</v>
      </c>
      <c r="M17" s="21" t="s">
        <v>104</v>
      </c>
      <c r="N17" s="21" t="s">
        <v>278</v>
      </c>
      <c r="O17" s="21" t="s">
        <v>126</v>
      </c>
      <c r="P17" s="21" t="s">
        <v>279</v>
      </c>
      <c r="Q17" s="21" t="s">
        <v>153</v>
      </c>
      <c r="R17" s="21" t="s">
        <v>178</v>
      </c>
      <c r="S17" s="21" t="s">
        <v>286</v>
      </c>
      <c r="T17" s="21" t="s">
        <v>182</v>
      </c>
      <c r="U17" s="21" t="s">
        <v>292</v>
      </c>
    </row>
    <row r="18" customFormat="false" ht="281.3" hidden="false" customHeight="false" outlineLevel="0" collapsed="false">
      <c r="A18" s="20" t="s">
        <v>171</v>
      </c>
      <c r="B18" s="20" t="s">
        <v>172</v>
      </c>
      <c r="C18" s="20" t="s">
        <v>293</v>
      </c>
      <c r="D18" s="20" t="s">
        <v>174</v>
      </c>
      <c r="E18" s="20" t="s">
        <v>175</v>
      </c>
      <c r="F18" s="20" t="s">
        <v>27</v>
      </c>
      <c r="G18" s="21" t="s">
        <v>57</v>
      </c>
      <c r="H18" s="21" t="s">
        <v>294</v>
      </c>
      <c r="I18" s="21" t="s">
        <v>73</v>
      </c>
      <c r="J18" s="21" t="s">
        <v>295</v>
      </c>
      <c r="K18" s="21" t="s">
        <v>98</v>
      </c>
      <c r="L18" s="21" t="s">
        <v>178</v>
      </c>
      <c r="M18" s="21" t="s">
        <v>104</v>
      </c>
      <c r="N18" s="21" t="s">
        <v>296</v>
      </c>
      <c r="O18" s="21" t="s">
        <v>141</v>
      </c>
      <c r="P18" s="21" t="s">
        <v>297</v>
      </c>
      <c r="Q18" s="21" t="s">
        <v>153</v>
      </c>
      <c r="R18" s="21" t="s">
        <v>178</v>
      </c>
      <c r="S18" s="21" t="s">
        <v>298</v>
      </c>
      <c r="T18" s="21" t="s">
        <v>182</v>
      </c>
      <c r="U18" s="21" t="s">
        <v>299</v>
      </c>
    </row>
    <row r="19" customFormat="false" ht="281.3" hidden="false" customHeight="false" outlineLevel="0" collapsed="false">
      <c r="A19" s="20" t="s">
        <v>184</v>
      </c>
      <c r="B19" s="20" t="s">
        <v>172</v>
      </c>
      <c r="C19" s="20" t="s">
        <v>293</v>
      </c>
      <c r="D19" s="20" t="s">
        <v>174</v>
      </c>
      <c r="E19" s="20" t="s">
        <v>185</v>
      </c>
      <c r="F19" s="20" t="s">
        <v>27</v>
      </c>
      <c r="G19" s="21" t="s">
        <v>57</v>
      </c>
      <c r="H19" s="21" t="s">
        <v>294</v>
      </c>
      <c r="I19" s="21" t="s">
        <v>70</v>
      </c>
      <c r="J19" s="21" t="s">
        <v>300</v>
      </c>
      <c r="K19" s="21" t="s">
        <v>98</v>
      </c>
      <c r="L19" s="21" t="s">
        <v>178</v>
      </c>
      <c r="M19" s="21" t="s">
        <v>104</v>
      </c>
      <c r="N19" s="21" t="s">
        <v>296</v>
      </c>
      <c r="O19" s="21" t="s">
        <v>141</v>
      </c>
      <c r="P19" s="21" t="s">
        <v>297</v>
      </c>
      <c r="Q19" s="21" t="s">
        <v>153</v>
      </c>
      <c r="R19" s="21" t="s">
        <v>178</v>
      </c>
      <c r="S19" s="21" t="s">
        <v>301</v>
      </c>
      <c r="T19" s="21" t="s">
        <v>182</v>
      </c>
      <c r="U19" s="21" t="s">
        <v>302</v>
      </c>
    </row>
    <row r="20" customFormat="false" ht="247.75" hidden="false" customHeight="false" outlineLevel="0" collapsed="false">
      <c r="A20" s="20" t="s">
        <v>190</v>
      </c>
      <c r="B20" s="20" t="s">
        <v>172</v>
      </c>
      <c r="C20" s="20" t="s">
        <v>293</v>
      </c>
      <c r="D20" s="20" t="s">
        <v>191</v>
      </c>
      <c r="E20" s="20" t="s">
        <v>192</v>
      </c>
      <c r="F20" s="20" t="s">
        <v>27</v>
      </c>
      <c r="G20" s="21" t="s">
        <v>57</v>
      </c>
      <c r="H20" s="21" t="s">
        <v>303</v>
      </c>
      <c r="I20" s="21" t="s">
        <v>70</v>
      </c>
      <c r="J20" s="21" t="s">
        <v>304</v>
      </c>
      <c r="K20" s="21" t="s">
        <v>86</v>
      </c>
      <c r="L20" s="21" t="s">
        <v>305</v>
      </c>
      <c r="M20" s="21" t="s">
        <v>116</v>
      </c>
      <c r="N20" s="21" t="s">
        <v>178</v>
      </c>
      <c r="O20" s="21" t="s">
        <v>141</v>
      </c>
      <c r="P20" s="21" t="s">
        <v>178</v>
      </c>
      <c r="Q20" s="21" t="s">
        <v>150</v>
      </c>
      <c r="R20" s="21" t="s">
        <v>306</v>
      </c>
      <c r="S20" s="21" t="s">
        <v>307</v>
      </c>
      <c r="T20" s="21" t="s">
        <v>182</v>
      </c>
      <c r="U20" s="21" t="s">
        <v>308</v>
      </c>
    </row>
    <row r="21" customFormat="false" ht="180.55" hidden="false" customHeight="false" outlineLevel="0" collapsed="false">
      <c r="A21" s="20" t="s">
        <v>200</v>
      </c>
      <c r="B21" s="20" t="s">
        <v>172</v>
      </c>
      <c r="C21" s="20" t="s">
        <v>293</v>
      </c>
      <c r="D21" s="20" t="s">
        <v>191</v>
      </c>
      <c r="E21" s="20" t="s">
        <v>201</v>
      </c>
      <c r="F21" s="20" t="s">
        <v>27</v>
      </c>
      <c r="G21" s="21" t="s">
        <v>57</v>
      </c>
      <c r="H21" s="21" t="s">
        <v>303</v>
      </c>
      <c r="I21" s="21" t="s">
        <v>70</v>
      </c>
      <c r="J21" s="21" t="s">
        <v>202</v>
      </c>
      <c r="K21" s="21" t="s">
        <v>86</v>
      </c>
      <c r="L21" s="21" t="s">
        <v>305</v>
      </c>
      <c r="M21" s="21" t="s">
        <v>116</v>
      </c>
      <c r="N21" s="21" t="s">
        <v>178</v>
      </c>
      <c r="O21" s="21" t="s">
        <v>141</v>
      </c>
      <c r="P21" s="21" t="s">
        <v>178</v>
      </c>
      <c r="Q21" s="21" t="s">
        <v>150</v>
      </c>
      <c r="R21" s="21" t="s">
        <v>306</v>
      </c>
      <c r="S21" s="21" t="s">
        <v>309</v>
      </c>
      <c r="T21" s="21" t="s">
        <v>182</v>
      </c>
      <c r="U21" s="21" t="s">
        <v>310</v>
      </c>
    </row>
    <row r="22" customFormat="false" ht="180.55" hidden="false" customHeight="false" outlineLevel="0" collapsed="false">
      <c r="A22" s="20" t="s">
        <v>206</v>
      </c>
      <c r="B22" s="20" t="s">
        <v>172</v>
      </c>
      <c r="C22" s="20" t="s">
        <v>293</v>
      </c>
      <c r="D22" s="20" t="s">
        <v>191</v>
      </c>
      <c r="E22" s="20" t="s">
        <v>207</v>
      </c>
      <c r="F22" s="20" t="s">
        <v>30</v>
      </c>
      <c r="G22" s="21" t="s">
        <v>57</v>
      </c>
      <c r="H22" s="21" t="s">
        <v>208</v>
      </c>
      <c r="I22" s="21" t="s">
        <v>73</v>
      </c>
      <c r="J22" s="21" t="s">
        <v>209</v>
      </c>
      <c r="K22" s="21" t="s">
        <v>86</v>
      </c>
      <c r="L22" s="21" t="s">
        <v>305</v>
      </c>
      <c r="M22" s="21" t="s">
        <v>116</v>
      </c>
      <c r="N22" s="21" t="s">
        <v>178</v>
      </c>
      <c r="O22" s="21" t="s">
        <v>141</v>
      </c>
      <c r="P22" s="21" t="s">
        <v>178</v>
      </c>
      <c r="Q22" s="21" t="s">
        <v>150</v>
      </c>
      <c r="R22" s="21" t="s">
        <v>306</v>
      </c>
      <c r="S22" s="21" t="s">
        <v>198</v>
      </c>
      <c r="T22" s="21" t="s">
        <v>182</v>
      </c>
      <c r="U22" s="21" t="s">
        <v>311</v>
      </c>
    </row>
    <row r="23" customFormat="false" ht="270.1" hidden="false" customHeight="false" outlineLevel="0" collapsed="false">
      <c r="A23" s="20" t="s">
        <v>213</v>
      </c>
      <c r="B23" s="20" t="s">
        <v>172</v>
      </c>
      <c r="C23" s="20" t="s">
        <v>293</v>
      </c>
      <c r="D23" s="20" t="s">
        <v>214</v>
      </c>
      <c r="E23" s="20" t="s">
        <v>215</v>
      </c>
      <c r="F23" s="20" t="s">
        <v>27</v>
      </c>
      <c r="G23" s="21" t="s">
        <v>42</v>
      </c>
      <c r="H23" s="21" t="s">
        <v>312</v>
      </c>
      <c r="I23" s="21" t="s">
        <v>73</v>
      </c>
      <c r="J23" s="21" t="s">
        <v>313</v>
      </c>
      <c r="K23" s="21" t="s">
        <v>83</v>
      </c>
      <c r="L23" s="21" t="s">
        <v>314</v>
      </c>
      <c r="M23" s="21" t="s">
        <v>107</v>
      </c>
      <c r="N23" s="21" t="s">
        <v>315</v>
      </c>
      <c r="O23" s="21" t="s">
        <v>138</v>
      </c>
      <c r="P23" s="21" t="s">
        <v>220</v>
      </c>
      <c r="Q23" s="21" t="s">
        <v>150</v>
      </c>
      <c r="R23" s="21" t="s">
        <v>316</v>
      </c>
      <c r="S23" s="21" t="s">
        <v>317</v>
      </c>
      <c r="T23" s="21" t="s">
        <v>182</v>
      </c>
      <c r="U23" s="21" t="s">
        <v>318</v>
      </c>
    </row>
    <row r="24" customFormat="false" ht="191.75" hidden="false" customHeight="false" outlineLevel="0" collapsed="false">
      <c r="A24" s="20" t="s">
        <v>224</v>
      </c>
      <c r="B24" s="20" t="s">
        <v>172</v>
      </c>
      <c r="C24" s="20" t="s">
        <v>293</v>
      </c>
      <c r="D24" s="20" t="s">
        <v>214</v>
      </c>
      <c r="E24" s="20" t="s">
        <v>225</v>
      </c>
      <c r="F24" s="20" t="s">
        <v>30</v>
      </c>
      <c r="G24" s="21" t="s">
        <v>57</v>
      </c>
      <c r="H24" s="21" t="s">
        <v>319</v>
      </c>
      <c r="I24" s="21" t="s">
        <v>73</v>
      </c>
      <c r="J24" s="21" t="s">
        <v>320</v>
      </c>
      <c r="K24" s="21" t="s">
        <v>83</v>
      </c>
      <c r="L24" s="21" t="s">
        <v>314</v>
      </c>
      <c r="M24" s="21" t="s">
        <v>107</v>
      </c>
      <c r="N24" s="21" t="s">
        <v>315</v>
      </c>
      <c r="O24" s="21" t="s">
        <v>138</v>
      </c>
      <c r="P24" s="21" t="s">
        <v>220</v>
      </c>
      <c r="Q24" s="21" t="s">
        <v>150</v>
      </c>
      <c r="R24" s="21" t="s">
        <v>316</v>
      </c>
      <c r="S24" s="21" t="s">
        <v>317</v>
      </c>
      <c r="T24" s="21" t="s">
        <v>182</v>
      </c>
      <c r="U24" s="21" t="s">
        <v>321</v>
      </c>
    </row>
    <row r="25" customFormat="false" ht="158.2" hidden="false" customHeight="false" outlineLevel="0" collapsed="false">
      <c r="A25" s="20" t="s">
        <v>230</v>
      </c>
      <c r="B25" s="20" t="s">
        <v>172</v>
      </c>
      <c r="C25" s="20" t="s">
        <v>293</v>
      </c>
      <c r="D25" s="20" t="s">
        <v>231</v>
      </c>
      <c r="E25" s="20" t="s">
        <v>232</v>
      </c>
      <c r="F25" s="20" t="s">
        <v>27</v>
      </c>
      <c r="G25" s="21" t="s">
        <v>42</v>
      </c>
      <c r="H25" s="21" t="s">
        <v>233</v>
      </c>
      <c r="I25" s="21" t="s">
        <v>70</v>
      </c>
      <c r="J25" s="21" t="s">
        <v>234</v>
      </c>
      <c r="K25" s="21" t="s">
        <v>80</v>
      </c>
      <c r="L25" s="21" t="s">
        <v>235</v>
      </c>
      <c r="M25" s="21" t="s">
        <v>107</v>
      </c>
      <c r="N25" s="21" t="s">
        <v>236</v>
      </c>
      <c r="O25" s="21" t="s">
        <v>129</v>
      </c>
      <c r="P25" s="21" t="s">
        <v>322</v>
      </c>
      <c r="Q25" s="21" t="s">
        <v>153</v>
      </c>
      <c r="R25" s="21" t="s">
        <v>178</v>
      </c>
      <c r="S25" s="21" t="s">
        <v>323</v>
      </c>
      <c r="T25" s="21" t="s">
        <v>182</v>
      </c>
      <c r="U25" s="21" t="s">
        <v>324</v>
      </c>
    </row>
    <row r="26" customFormat="false" ht="135.8" hidden="false" customHeight="false" outlineLevel="0" collapsed="false">
      <c r="A26" s="20" t="s">
        <v>240</v>
      </c>
      <c r="B26" s="20" t="s">
        <v>172</v>
      </c>
      <c r="C26" s="20" t="s">
        <v>293</v>
      </c>
      <c r="D26" s="20" t="s">
        <v>231</v>
      </c>
      <c r="E26" s="20" t="s">
        <v>241</v>
      </c>
      <c r="F26" s="20" t="s">
        <v>30</v>
      </c>
      <c r="G26" s="21" t="s">
        <v>48</v>
      </c>
      <c r="H26" s="21" t="s">
        <v>325</v>
      </c>
      <c r="I26" s="21" t="s">
        <v>70</v>
      </c>
      <c r="J26" s="21" t="s">
        <v>234</v>
      </c>
      <c r="K26" s="21" t="s">
        <v>98</v>
      </c>
      <c r="L26" s="21" t="s">
        <v>234</v>
      </c>
      <c r="M26" s="21" t="s">
        <v>107</v>
      </c>
      <c r="N26" s="21" t="s">
        <v>236</v>
      </c>
      <c r="O26" s="21" t="s">
        <v>129</v>
      </c>
      <c r="P26" s="21" t="s">
        <v>322</v>
      </c>
      <c r="Q26" s="21" t="s">
        <v>153</v>
      </c>
      <c r="R26" s="21" t="s">
        <v>178</v>
      </c>
      <c r="S26" s="21" t="s">
        <v>326</v>
      </c>
      <c r="T26" s="21" t="s">
        <v>182</v>
      </c>
      <c r="U26" s="21" t="s">
        <v>327</v>
      </c>
    </row>
    <row r="27" customFormat="false" ht="180.55" hidden="false" customHeight="false" outlineLevel="0" collapsed="false">
      <c r="A27" s="20" t="s">
        <v>247</v>
      </c>
      <c r="B27" s="20" t="s">
        <v>172</v>
      </c>
      <c r="C27" s="20" t="s">
        <v>293</v>
      </c>
      <c r="D27" s="20" t="s">
        <v>231</v>
      </c>
      <c r="E27" s="20" t="s">
        <v>248</v>
      </c>
      <c r="F27" s="20" t="s">
        <v>30</v>
      </c>
      <c r="G27" s="21" t="s">
        <v>60</v>
      </c>
      <c r="H27" s="21" t="s">
        <v>328</v>
      </c>
      <c r="I27" s="21" t="s">
        <v>73</v>
      </c>
      <c r="J27" s="21" t="s">
        <v>249</v>
      </c>
      <c r="K27" s="21" t="s">
        <v>98</v>
      </c>
      <c r="L27" s="21" t="s">
        <v>178</v>
      </c>
      <c r="M27" s="21" t="s">
        <v>107</v>
      </c>
      <c r="N27" s="21" t="s">
        <v>236</v>
      </c>
      <c r="O27" s="21" t="s">
        <v>129</v>
      </c>
      <c r="P27" s="21" t="s">
        <v>322</v>
      </c>
      <c r="Q27" s="21" t="s">
        <v>153</v>
      </c>
      <c r="R27" s="21" t="s">
        <v>178</v>
      </c>
      <c r="S27" s="21" t="s">
        <v>329</v>
      </c>
      <c r="T27" s="21" t="s">
        <v>182</v>
      </c>
      <c r="U27" s="21" t="s">
        <v>330</v>
      </c>
    </row>
    <row r="28" customFormat="false" ht="158.2" hidden="false" customHeight="false" outlineLevel="0" collapsed="false">
      <c r="A28" s="20" t="s">
        <v>253</v>
      </c>
      <c r="B28" s="20" t="s">
        <v>172</v>
      </c>
      <c r="C28" s="20" t="s">
        <v>293</v>
      </c>
      <c r="D28" s="20" t="s">
        <v>231</v>
      </c>
      <c r="E28" s="20" t="s">
        <v>254</v>
      </c>
      <c r="F28" s="20" t="s">
        <v>33</v>
      </c>
      <c r="G28" s="21" t="s">
        <v>60</v>
      </c>
      <c r="H28" s="21" t="s">
        <v>328</v>
      </c>
      <c r="I28" s="21" t="s">
        <v>70</v>
      </c>
      <c r="J28" s="21" t="s">
        <v>255</v>
      </c>
      <c r="K28" s="21" t="s">
        <v>98</v>
      </c>
      <c r="L28" s="21" t="s">
        <v>178</v>
      </c>
      <c r="M28" s="21" t="s">
        <v>107</v>
      </c>
      <c r="N28" s="21" t="s">
        <v>236</v>
      </c>
      <c r="O28" s="21" t="s">
        <v>129</v>
      </c>
      <c r="P28" s="21" t="s">
        <v>322</v>
      </c>
      <c r="Q28" s="21" t="s">
        <v>153</v>
      </c>
      <c r="R28" s="21" t="s">
        <v>178</v>
      </c>
      <c r="S28" s="21" t="s">
        <v>331</v>
      </c>
      <c r="T28" s="21" t="s">
        <v>182</v>
      </c>
      <c r="U28" s="21" t="s">
        <v>332</v>
      </c>
    </row>
    <row r="29" customFormat="false" ht="225.35" hidden="false" customHeight="false" outlineLevel="0" collapsed="false">
      <c r="A29" s="20" t="s">
        <v>257</v>
      </c>
      <c r="B29" s="20" t="s">
        <v>172</v>
      </c>
      <c r="C29" s="20" t="s">
        <v>293</v>
      </c>
      <c r="D29" s="20" t="s">
        <v>258</v>
      </c>
      <c r="E29" s="20" t="s">
        <v>259</v>
      </c>
      <c r="F29" s="20" t="s">
        <v>27</v>
      </c>
      <c r="G29" s="21" t="s">
        <v>57</v>
      </c>
      <c r="H29" s="21" t="s">
        <v>260</v>
      </c>
      <c r="I29" s="21" t="s">
        <v>70</v>
      </c>
      <c r="J29" s="21" t="s">
        <v>261</v>
      </c>
      <c r="K29" s="21" t="s">
        <v>95</v>
      </c>
      <c r="L29" s="21" t="s">
        <v>261</v>
      </c>
      <c r="M29" s="21" t="s">
        <v>116</v>
      </c>
      <c r="N29" s="21" t="s">
        <v>178</v>
      </c>
      <c r="O29" s="21" t="s">
        <v>141</v>
      </c>
      <c r="P29" s="21" t="s">
        <v>333</v>
      </c>
      <c r="Q29" s="21" t="s">
        <v>153</v>
      </c>
      <c r="R29" s="21" t="s">
        <v>334</v>
      </c>
      <c r="S29" s="21" t="s">
        <v>335</v>
      </c>
      <c r="T29" s="21" t="s">
        <v>182</v>
      </c>
      <c r="U29" s="21" t="s">
        <v>336</v>
      </c>
    </row>
    <row r="30" customFormat="false" ht="202.95" hidden="false" customHeight="false" outlineLevel="0" collapsed="false">
      <c r="A30" s="20" t="s">
        <v>266</v>
      </c>
      <c r="B30" s="20" t="s">
        <v>172</v>
      </c>
      <c r="C30" s="20" t="s">
        <v>293</v>
      </c>
      <c r="D30" s="20" t="s">
        <v>258</v>
      </c>
      <c r="E30" s="20" t="s">
        <v>267</v>
      </c>
      <c r="F30" s="20" t="s">
        <v>33</v>
      </c>
      <c r="G30" s="21" t="s">
        <v>57</v>
      </c>
      <c r="H30" s="21" t="s">
        <v>337</v>
      </c>
      <c r="I30" s="21" t="s">
        <v>70</v>
      </c>
      <c r="J30" s="21" t="s">
        <v>338</v>
      </c>
      <c r="K30" s="21" t="s">
        <v>98</v>
      </c>
      <c r="L30" s="21" t="s">
        <v>178</v>
      </c>
      <c r="M30" s="21" t="s">
        <v>116</v>
      </c>
      <c r="N30" s="21" t="s">
        <v>178</v>
      </c>
      <c r="O30" s="21" t="s">
        <v>138</v>
      </c>
      <c r="P30" s="21" t="s">
        <v>339</v>
      </c>
      <c r="Q30" s="21" t="s">
        <v>153</v>
      </c>
      <c r="R30" s="21" t="s">
        <v>334</v>
      </c>
      <c r="S30" s="21" t="s">
        <v>340</v>
      </c>
      <c r="T30" s="21" t="s">
        <v>182</v>
      </c>
      <c r="U30" s="21" t="s">
        <v>341</v>
      </c>
    </row>
    <row r="31" customFormat="false" ht="191.75" hidden="false" customHeight="false" outlineLevel="0" collapsed="false">
      <c r="A31" s="20" t="s">
        <v>273</v>
      </c>
      <c r="B31" s="20" t="s">
        <v>172</v>
      </c>
      <c r="C31" s="20" t="s">
        <v>293</v>
      </c>
      <c r="D31" s="20" t="s">
        <v>274</v>
      </c>
      <c r="E31" s="20" t="s">
        <v>275</v>
      </c>
      <c r="F31" s="20" t="s">
        <v>27</v>
      </c>
      <c r="G31" s="21" t="s">
        <v>57</v>
      </c>
      <c r="H31" s="21" t="s">
        <v>276</v>
      </c>
      <c r="I31" s="21" t="s">
        <v>73</v>
      </c>
      <c r="J31" s="21" t="s">
        <v>342</v>
      </c>
      <c r="K31" s="21" t="s">
        <v>98</v>
      </c>
      <c r="L31" s="21" t="s">
        <v>343</v>
      </c>
      <c r="M31" s="21" t="s">
        <v>104</v>
      </c>
      <c r="N31" s="21" t="s">
        <v>344</v>
      </c>
      <c r="O31" s="21" t="s">
        <v>126</v>
      </c>
      <c r="P31" s="21" t="s">
        <v>279</v>
      </c>
      <c r="Q31" s="21" t="s">
        <v>153</v>
      </c>
      <c r="R31" s="21" t="s">
        <v>345</v>
      </c>
      <c r="S31" s="21" t="s">
        <v>346</v>
      </c>
      <c r="T31" s="21" t="s">
        <v>182</v>
      </c>
      <c r="U31" s="21" t="s">
        <v>347</v>
      </c>
    </row>
    <row r="32" customFormat="false" ht="135.8" hidden="false" customHeight="false" outlineLevel="0" collapsed="false">
      <c r="A32" s="20" t="s">
        <v>282</v>
      </c>
      <c r="B32" s="20" t="s">
        <v>172</v>
      </c>
      <c r="C32" s="20" t="s">
        <v>293</v>
      </c>
      <c r="D32" s="20" t="s">
        <v>274</v>
      </c>
      <c r="E32" s="20" t="s">
        <v>283</v>
      </c>
      <c r="F32" s="20" t="s">
        <v>27</v>
      </c>
      <c r="G32" s="21" t="s">
        <v>57</v>
      </c>
      <c r="H32" s="21" t="s">
        <v>276</v>
      </c>
      <c r="I32" s="21" t="s">
        <v>73</v>
      </c>
      <c r="J32" s="21" t="s">
        <v>348</v>
      </c>
      <c r="K32" s="21" t="s">
        <v>98</v>
      </c>
      <c r="L32" s="21" t="s">
        <v>178</v>
      </c>
      <c r="M32" s="21" t="s">
        <v>104</v>
      </c>
      <c r="N32" s="21" t="s">
        <v>344</v>
      </c>
      <c r="O32" s="21" t="s">
        <v>126</v>
      </c>
      <c r="P32" s="21" t="s">
        <v>279</v>
      </c>
      <c r="Q32" s="21" t="s">
        <v>153</v>
      </c>
      <c r="R32" s="21" t="s">
        <v>345</v>
      </c>
      <c r="S32" s="21" t="s">
        <v>349</v>
      </c>
      <c r="T32" s="21" t="s">
        <v>182</v>
      </c>
      <c r="U32" s="21" t="s">
        <v>350</v>
      </c>
    </row>
    <row r="33" customFormat="false" ht="158.2" hidden="false" customHeight="false" outlineLevel="0" collapsed="false">
      <c r="A33" s="20" t="s">
        <v>288</v>
      </c>
      <c r="B33" s="20" t="s">
        <v>172</v>
      </c>
      <c r="C33" s="20" t="s">
        <v>293</v>
      </c>
      <c r="D33" s="20" t="s">
        <v>274</v>
      </c>
      <c r="E33" s="20" t="s">
        <v>289</v>
      </c>
      <c r="F33" s="20" t="s">
        <v>30</v>
      </c>
      <c r="G33" s="21" t="s">
        <v>57</v>
      </c>
      <c r="H33" s="21" t="s">
        <v>351</v>
      </c>
      <c r="I33" s="21" t="s">
        <v>73</v>
      </c>
      <c r="J33" s="21" t="s">
        <v>342</v>
      </c>
      <c r="K33" s="21" t="s">
        <v>98</v>
      </c>
      <c r="L33" s="21" t="s">
        <v>343</v>
      </c>
      <c r="M33" s="21" t="s">
        <v>104</v>
      </c>
      <c r="N33" s="21" t="s">
        <v>344</v>
      </c>
      <c r="O33" s="21" t="s">
        <v>126</v>
      </c>
      <c r="P33" s="21" t="s">
        <v>279</v>
      </c>
      <c r="Q33" s="21" t="s">
        <v>153</v>
      </c>
      <c r="R33" s="21" t="s">
        <v>345</v>
      </c>
      <c r="S33" s="21" t="s">
        <v>349</v>
      </c>
      <c r="T33" s="21" t="s">
        <v>182</v>
      </c>
      <c r="U33" s="21" t="s">
        <v>352</v>
      </c>
    </row>
    <row r="34" customFormat="false" ht="46.25" hidden="false" customHeight="false" outlineLevel="0" collapsed="false">
      <c r="A34" s="20" t="s">
        <v>171</v>
      </c>
      <c r="B34" s="20" t="s">
        <v>353</v>
      </c>
      <c r="C34" s="20" t="s">
        <v>354</v>
      </c>
      <c r="D34" s="20" t="s">
        <v>174</v>
      </c>
      <c r="E34" s="20" t="s">
        <v>175</v>
      </c>
      <c r="F34" s="20" t="s">
        <v>27</v>
      </c>
      <c r="G34" s="21" t="s">
        <v>57</v>
      </c>
      <c r="H34" s="21" t="s">
        <v>176</v>
      </c>
      <c r="I34" s="21" t="s">
        <v>73</v>
      </c>
      <c r="J34" s="21" t="s">
        <v>177</v>
      </c>
      <c r="K34" s="21" t="s">
        <v>98</v>
      </c>
      <c r="L34" s="21" t="s">
        <v>178</v>
      </c>
      <c r="M34" s="21" t="s">
        <v>104</v>
      </c>
      <c r="N34" s="21" t="s">
        <v>179</v>
      </c>
      <c r="O34" s="21" t="s">
        <v>141</v>
      </c>
      <c r="P34" s="21" t="s">
        <v>180</v>
      </c>
      <c r="Q34" s="21" t="s">
        <v>153</v>
      </c>
      <c r="R34" s="21" t="s">
        <v>178</v>
      </c>
      <c r="S34" s="21" t="s">
        <v>181</v>
      </c>
      <c r="T34" s="21" t="s">
        <v>182</v>
      </c>
      <c r="U34" s="21" t="s">
        <v>355</v>
      </c>
    </row>
    <row r="35" customFormat="false" ht="57.45" hidden="false" customHeight="false" outlineLevel="0" collapsed="false">
      <c r="A35" s="20" t="s">
        <v>184</v>
      </c>
      <c r="B35" s="20" t="s">
        <v>353</v>
      </c>
      <c r="C35" s="20" t="s">
        <v>354</v>
      </c>
      <c r="D35" s="20" t="s">
        <v>174</v>
      </c>
      <c r="E35" s="20" t="s">
        <v>185</v>
      </c>
      <c r="F35" s="20" t="s">
        <v>27</v>
      </c>
      <c r="G35" s="21" t="s">
        <v>57</v>
      </c>
      <c r="H35" s="21" t="s">
        <v>176</v>
      </c>
      <c r="I35" s="21" t="s">
        <v>70</v>
      </c>
      <c r="J35" s="21" t="s">
        <v>186</v>
      </c>
      <c r="K35" s="21" t="s">
        <v>98</v>
      </c>
      <c r="L35" s="21" t="s">
        <v>178</v>
      </c>
      <c r="M35" s="21" t="s">
        <v>104</v>
      </c>
      <c r="N35" s="21" t="s">
        <v>187</v>
      </c>
      <c r="O35" s="21" t="s">
        <v>141</v>
      </c>
      <c r="P35" s="21" t="s">
        <v>180</v>
      </c>
      <c r="Q35" s="21" t="s">
        <v>153</v>
      </c>
      <c r="R35" s="21" t="s">
        <v>178</v>
      </c>
      <c r="S35" s="21" t="s">
        <v>188</v>
      </c>
      <c r="T35" s="21" t="s">
        <v>182</v>
      </c>
      <c r="U35" s="21" t="s">
        <v>355</v>
      </c>
    </row>
    <row r="36" customFormat="false" ht="57.45" hidden="false" customHeight="false" outlineLevel="0" collapsed="false">
      <c r="A36" s="20" t="s">
        <v>190</v>
      </c>
      <c r="B36" s="20" t="s">
        <v>353</v>
      </c>
      <c r="C36" s="20" t="s">
        <v>354</v>
      </c>
      <c r="D36" s="20" t="s">
        <v>191</v>
      </c>
      <c r="E36" s="20" t="s">
        <v>192</v>
      </c>
      <c r="F36" s="20" t="s">
        <v>27</v>
      </c>
      <c r="G36" s="21" t="s">
        <v>57</v>
      </c>
      <c r="H36" s="21" t="s">
        <v>193</v>
      </c>
      <c r="I36" s="21" t="s">
        <v>70</v>
      </c>
      <c r="J36" s="21" t="s">
        <v>194</v>
      </c>
      <c r="K36" s="21" t="s">
        <v>86</v>
      </c>
      <c r="L36" s="21" t="s">
        <v>195</v>
      </c>
      <c r="M36" s="21" t="s">
        <v>116</v>
      </c>
      <c r="N36" s="21" t="s">
        <v>178</v>
      </c>
      <c r="O36" s="21" t="s">
        <v>141</v>
      </c>
      <c r="P36" s="21" t="s">
        <v>196</v>
      </c>
      <c r="Q36" s="21" t="s">
        <v>150</v>
      </c>
      <c r="R36" s="21" t="s">
        <v>197</v>
      </c>
      <c r="S36" s="21" t="s">
        <v>198</v>
      </c>
      <c r="T36" s="21" t="s">
        <v>182</v>
      </c>
      <c r="U36" s="21" t="s">
        <v>355</v>
      </c>
    </row>
    <row r="37" customFormat="false" ht="46.25" hidden="false" customHeight="false" outlineLevel="0" collapsed="false">
      <c r="A37" s="20" t="s">
        <v>200</v>
      </c>
      <c r="B37" s="20" t="s">
        <v>353</v>
      </c>
      <c r="C37" s="20" t="s">
        <v>354</v>
      </c>
      <c r="D37" s="20" t="s">
        <v>191</v>
      </c>
      <c r="E37" s="20" t="s">
        <v>201</v>
      </c>
      <c r="F37" s="20" t="s">
        <v>27</v>
      </c>
      <c r="G37" s="21" t="s">
        <v>57</v>
      </c>
      <c r="H37" s="21" t="s">
        <v>193</v>
      </c>
      <c r="I37" s="21" t="s">
        <v>70</v>
      </c>
      <c r="J37" s="21" t="s">
        <v>202</v>
      </c>
      <c r="K37" s="21" t="s">
        <v>86</v>
      </c>
      <c r="L37" s="21" t="s">
        <v>195</v>
      </c>
      <c r="M37" s="21" t="s">
        <v>116</v>
      </c>
      <c r="N37" s="21" t="s">
        <v>178</v>
      </c>
      <c r="O37" s="21" t="s">
        <v>141</v>
      </c>
      <c r="P37" s="21" t="s">
        <v>196</v>
      </c>
      <c r="Q37" s="21" t="s">
        <v>150</v>
      </c>
      <c r="R37" s="21" t="s">
        <v>203</v>
      </c>
      <c r="S37" s="21" t="s">
        <v>204</v>
      </c>
      <c r="T37" s="21" t="s">
        <v>182</v>
      </c>
      <c r="U37" s="21" t="s">
        <v>355</v>
      </c>
    </row>
    <row r="38" customFormat="false" ht="57.45" hidden="false" customHeight="false" outlineLevel="0" collapsed="false">
      <c r="A38" s="20" t="s">
        <v>206</v>
      </c>
      <c r="B38" s="20" t="s">
        <v>353</v>
      </c>
      <c r="C38" s="20" t="s">
        <v>354</v>
      </c>
      <c r="D38" s="20" t="s">
        <v>191</v>
      </c>
      <c r="E38" s="20" t="s">
        <v>207</v>
      </c>
      <c r="F38" s="20" t="s">
        <v>30</v>
      </c>
      <c r="G38" s="21" t="s">
        <v>57</v>
      </c>
      <c r="H38" s="21" t="s">
        <v>208</v>
      </c>
      <c r="I38" s="21" t="s">
        <v>73</v>
      </c>
      <c r="J38" s="21" t="s">
        <v>209</v>
      </c>
      <c r="K38" s="21" t="s">
        <v>86</v>
      </c>
      <c r="L38" s="21" t="s">
        <v>195</v>
      </c>
      <c r="M38" s="21" t="s">
        <v>116</v>
      </c>
      <c r="N38" s="21" t="s">
        <v>178</v>
      </c>
      <c r="O38" s="21" t="s">
        <v>141</v>
      </c>
      <c r="P38" s="21" t="s">
        <v>196</v>
      </c>
      <c r="Q38" s="21" t="s">
        <v>150</v>
      </c>
      <c r="R38" s="21" t="s">
        <v>210</v>
      </c>
      <c r="S38" s="21" t="s">
        <v>211</v>
      </c>
      <c r="T38" s="21" t="s">
        <v>182</v>
      </c>
      <c r="U38" s="21" t="s">
        <v>355</v>
      </c>
    </row>
    <row r="39" customFormat="false" ht="57.45" hidden="false" customHeight="false" outlineLevel="0" collapsed="false">
      <c r="A39" s="20" t="s">
        <v>213</v>
      </c>
      <c r="B39" s="20" t="s">
        <v>353</v>
      </c>
      <c r="C39" s="20" t="s">
        <v>354</v>
      </c>
      <c r="D39" s="20" t="s">
        <v>214</v>
      </c>
      <c r="E39" s="20" t="s">
        <v>215</v>
      </c>
      <c r="F39" s="20" t="s">
        <v>27</v>
      </c>
      <c r="G39" s="21" t="s">
        <v>42</v>
      </c>
      <c r="H39" s="21" t="s">
        <v>216</v>
      </c>
      <c r="I39" s="21" t="s">
        <v>73</v>
      </c>
      <c r="J39" s="21" t="s">
        <v>217</v>
      </c>
      <c r="K39" s="21" t="s">
        <v>83</v>
      </c>
      <c r="L39" s="21" t="s">
        <v>218</v>
      </c>
      <c r="M39" s="21" t="s">
        <v>107</v>
      </c>
      <c r="N39" s="21" t="s">
        <v>219</v>
      </c>
      <c r="O39" s="21" t="s">
        <v>138</v>
      </c>
      <c r="P39" s="21" t="s">
        <v>220</v>
      </c>
      <c r="Q39" s="21" t="s">
        <v>150</v>
      </c>
      <c r="R39" s="21" t="s">
        <v>221</v>
      </c>
      <c r="S39" s="21" t="s">
        <v>222</v>
      </c>
      <c r="T39" s="21" t="s">
        <v>182</v>
      </c>
      <c r="U39" s="21" t="s">
        <v>355</v>
      </c>
    </row>
    <row r="40" customFormat="false" ht="57.45" hidden="false" customHeight="false" outlineLevel="0" collapsed="false">
      <c r="A40" s="20" t="s">
        <v>224</v>
      </c>
      <c r="B40" s="20" t="s">
        <v>353</v>
      </c>
      <c r="C40" s="20" t="s">
        <v>354</v>
      </c>
      <c r="D40" s="20" t="s">
        <v>214</v>
      </c>
      <c r="E40" s="20" t="s">
        <v>225</v>
      </c>
      <c r="F40" s="20" t="s">
        <v>30</v>
      </c>
      <c r="G40" s="21" t="s">
        <v>57</v>
      </c>
      <c r="H40" s="21" t="s">
        <v>226</v>
      </c>
      <c r="I40" s="21" t="s">
        <v>73</v>
      </c>
      <c r="J40" s="21" t="s">
        <v>227</v>
      </c>
      <c r="K40" s="21" t="s">
        <v>83</v>
      </c>
      <c r="L40" s="21" t="s">
        <v>218</v>
      </c>
      <c r="M40" s="21" t="s">
        <v>107</v>
      </c>
      <c r="N40" s="21" t="s">
        <v>228</v>
      </c>
      <c r="O40" s="21" t="s">
        <v>138</v>
      </c>
      <c r="P40" s="21" t="s">
        <v>220</v>
      </c>
      <c r="Q40" s="21" t="s">
        <v>150</v>
      </c>
      <c r="R40" s="21" t="s">
        <v>221</v>
      </c>
      <c r="S40" s="21" t="s">
        <v>222</v>
      </c>
      <c r="T40" s="21" t="s">
        <v>182</v>
      </c>
      <c r="U40" s="21" t="s">
        <v>355</v>
      </c>
    </row>
    <row r="41" customFormat="false" ht="46.25" hidden="false" customHeight="false" outlineLevel="0" collapsed="false">
      <c r="A41" s="20" t="s">
        <v>230</v>
      </c>
      <c r="B41" s="20" t="s">
        <v>353</v>
      </c>
      <c r="C41" s="20" t="s">
        <v>354</v>
      </c>
      <c r="D41" s="20" t="s">
        <v>231</v>
      </c>
      <c r="E41" s="20" t="s">
        <v>232</v>
      </c>
      <c r="F41" s="20" t="s">
        <v>27</v>
      </c>
      <c r="G41" s="21" t="s">
        <v>42</v>
      </c>
      <c r="H41" s="21" t="s">
        <v>233</v>
      </c>
      <c r="I41" s="21" t="s">
        <v>70</v>
      </c>
      <c r="J41" s="21" t="s">
        <v>234</v>
      </c>
      <c r="K41" s="21" t="s">
        <v>80</v>
      </c>
      <c r="L41" s="21" t="s">
        <v>235</v>
      </c>
      <c r="M41" s="21" t="s">
        <v>107</v>
      </c>
      <c r="N41" s="21" t="s">
        <v>236</v>
      </c>
      <c r="O41" s="21" t="s">
        <v>129</v>
      </c>
      <c r="P41" s="21" t="s">
        <v>237</v>
      </c>
      <c r="Q41" s="21" t="s">
        <v>153</v>
      </c>
      <c r="R41" s="21" t="s">
        <v>178</v>
      </c>
      <c r="S41" s="21" t="s">
        <v>238</v>
      </c>
      <c r="T41" s="21" t="s">
        <v>182</v>
      </c>
      <c r="U41" s="21" t="s">
        <v>355</v>
      </c>
    </row>
    <row r="42" customFormat="false" ht="35.05" hidden="false" customHeight="false" outlineLevel="0" collapsed="false">
      <c r="A42" s="20" t="s">
        <v>240</v>
      </c>
      <c r="B42" s="20" t="s">
        <v>353</v>
      </c>
      <c r="C42" s="20" t="s">
        <v>354</v>
      </c>
      <c r="D42" s="20" t="s">
        <v>231</v>
      </c>
      <c r="E42" s="20" t="s">
        <v>241</v>
      </c>
      <c r="F42" s="20" t="s">
        <v>30</v>
      </c>
      <c r="G42" s="21" t="s">
        <v>48</v>
      </c>
      <c r="H42" s="21" t="s">
        <v>242</v>
      </c>
      <c r="I42" s="21" t="s">
        <v>70</v>
      </c>
      <c r="J42" s="21" t="s">
        <v>243</v>
      </c>
      <c r="K42" s="21" t="s">
        <v>98</v>
      </c>
      <c r="L42" s="21" t="s">
        <v>244</v>
      </c>
      <c r="M42" s="21" t="s">
        <v>107</v>
      </c>
      <c r="N42" s="21" t="s">
        <v>236</v>
      </c>
      <c r="O42" s="21" t="s">
        <v>129</v>
      </c>
      <c r="P42" s="21" t="s">
        <v>237</v>
      </c>
      <c r="Q42" s="21" t="s">
        <v>153</v>
      </c>
      <c r="R42" s="21" t="s">
        <v>178</v>
      </c>
      <c r="S42" s="21" t="s">
        <v>245</v>
      </c>
      <c r="T42" s="21" t="s">
        <v>182</v>
      </c>
      <c r="U42" s="21" t="s">
        <v>355</v>
      </c>
    </row>
    <row r="43" customFormat="false" ht="57.45" hidden="false" customHeight="false" outlineLevel="0" collapsed="false">
      <c r="A43" s="20" t="s">
        <v>247</v>
      </c>
      <c r="B43" s="20" t="s">
        <v>353</v>
      </c>
      <c r="C43" s="20" t="s">
        <v>354</v>
      </c>
      <c r="D43" s="20" t="s">
        <v>231</v>
      </c>
      <c r="E43" s="20" t="s">
        <v>248</v>
      </c>
      <c r="F43" s="20" t="s">
        <v>30</v>
      </c>
      <c r="G43" s="21" t="s">
        <v>60</v>
      </c>
      <c r="H43" s="21" t="s">
        <v>328</v>
      </c>
      <c r="I43" s="21" t="s">
        <v>73</v>
      </c>
      <c r="J43" s="21" t="s">
        <v>250</v>
      </c>
      <c r="K43" s="21" t="s">
        <v>98</v>
      </c>
      <c r="L43" s="21" t="s">
        <v>178</v>
      </c>
      <c r="M43" s="21" t="s">
        <v>107</v>
      </c>
      <c r="N43" s="21" t="s">
        <v>236</v>
      </c>
      <c r="O43" s="21" t="s">
        <v>129</v>
      </c>
      <c r="P43" s="21" t="s">
        <v>237</v>
      </c>
      <c r="Q43" s="21" t="s">
        <v>153</v>
      </c>
      <c r="R43" s="21" t="s">
        <v>178</v>
      </c>
      <c r="S43" s="21" t="s">
        <v>251</v>
      </c>
      <c r="T43" s="21" t="s">
        <v>182</v>
      </c>
      <c r="U43" s="21" t="s">
        <v>356</v>
      </c>
    </row>
    <row r="44" customFormat="false" ht="35.05" hidden="false" customHeight="false" outlineLevel="0" collapsed="false">
      <c r="A44" s="20" t="s">
        <v>253</v>
      </c>
      <c r="B44" s="20" t="s">
        <v>353</v>
      </c>
      <c r="C44" s="20" t="s">
        <v>354</v>
      </c>
      <c r="D44" s="20" t="s">
        <v>231</v>
      </c>
      <c r="E44" s="20" t="s">
        <v>254</v>
      </c>
      <c r="F44" s="20" t="s">
        <v>33</v>
      </c>
      <c r="G44" s="21" t="s">
        <v>60</v>
      </c>
      <c r="H44" s="21" t="s">
        <v>178</v>
      </c>
      <c r="I44" s="21" t="s">
        <v>70</v>
      </c>
      <c r="J44" s="21" t="s">
        <v>255</v>
      </c>
      <c r="K44" s="21" t="s">
        <v>98</v>
      </c>
      <c r="L44" s="21" t="s">
        <v>178</v>
      </c>
      <c r="M44" s="21" t="s">
        <v>107</v>
      </c>
      <c r="N44" s="21" t="s">
        <v>236</v>
      </c>
      <c r="O44" s="21" t="s">
        <v>129</v>
      </c>
      <c r="P44" s="21" t="s">
        <v>237</v>
      </c>
      <c r="Q44" s="21" t="s">
        <v>153</v>
      </c>
      <c r="R44" s="21" t="s">
        <v>178</v>
      </c>
      <c r="S44" s="21" t="s">
        <v>251</v>
      </c>
      <c r="T44" s="21" t="s">
        <v>182</v>
      </c>
      <c r="U44" s="21" t="s">
        <v>355</v>
      </c>
    </row>
    <row r="45" customFormat="false" ht="35.05" hidden="false" customHeight="false" outlineLevel="0" collapsed="false">
      <c r="A45" s="20" t="s">
        <v>257</v>
      </c>
      <c r="B45" s="20" t="s">
        <v>353</v>
      </c>
      <c r="C45" s="20" t="s">
        <v>354</v>
      </c>
      <c r="D45" s="20" t="s">
        <v>258</v>
      </c>
      <c r="E45" s="20" t="s">
        <v>259</v>
      </c>
      <c r="F45" s="20" t="s">
        <v>27</v>
      </c>
      <c r="G45" s="21" t="s">
        <v>57</v>
      </c>
      <c r="H45" s="21" t="s">
        <v>260</v>
      </c>
      <c r="I45" s="21" t="s">
        <v>70</v>
      </c>
      <c r="J45" s="21" t="s">
        <v>261</v>
      </c>
      <c r="K45" s="21" t="s">
        <v>95</v>
      </c>
      <c r="L45" s="21" t="s">
        <v>262</v>
      </c>
      <c r="M45" s="21" t="s">
        <v>116</v>
      </c>
      <c r="N45" s="21" t="s">
        <v>178</v>
      </c>
      <c r="O45" s="21" t="s">
        <v>141</v>
      </c>
      <c r="P45" s="21" t="s">
        <v>263</v>
      </c>
      <c r="Q45" s="21" t="s">
        <v>153</v>
      </c>
      <c r="R45" s="21" t="s">
        <v>178</v>
      </c>
      <c r="S45" s="21" t="s">
        <v>264</v>
      </c>
      <c r="T45" s="21" t="s">
        <v>182</v>
      </c>
      <c r="U45" s="21" t="s">
        <v>357</v>
      </c>
    </row>
    <row r="46" customFormat="false" ht="46.25" hidden="false" customHeight="false" outlineLevel="0" collapsed="false">
      <c r="A46" s="20" t="s">
        <v>266</v>
      </c>
      <c r="B46" s="20" t="s">
        <v>353</v>
      </c>
      <c r="C46" s="20" t="s">
        <v>354</v>
      </c>
      <c r="D46" s="20" t="s">
        <v>258</v>
      </c>
      <c r="E46" s="20" t="s">
        <v>267</v>
      </c>
      <c r="F46" s="20" t="s">
        <v>33</v>
      </c>
      <c r="G46" s="21" t="s">
        <v>57</v>
      </c>
      <c r="H46" s="21" t="s">
        <v>268</v>
      </c>
      <c r="I46" s="21" t="s">
        <v>70</v>
      </c>
      <c r="J46" s="21" t="s">
        <v>269</v>
      </c>
      <c r="K46" s="21" t="s">
        <v>98</v>
      </c>
      <c r="L46" s="21" t="s">
        <v>178</v>
      </c>
      <c r="M46" s="21" t="s">
        <v>116</v>
      </c>
      <c r="N46" s="21" t="s">
        <v>178</v>
      </c>
      <c r="O46" s="21" t="s">
        <v>138</v>
      </c>
      <c r="P46" s="21" t="s">
        <v>270</v>
      </c>
      <c r="Q46" s="21" t="s">
        <v>153</v>
      </c>
      <c r="R46" s="21" t="s">
        <v>178</v>
      </c>
      <c r="S46" s="21" t="s">
        <v>271</v>
      </c>
      <c r="T46" s="21" t="s">
        <v>182</v>
      </c>
      <c r="U46" s="21" t="s">
        <v>358</v>
      </c>
    </row>
    <row r="47" customFormat="false" ht="68.65" hidden="false" customHeight="false" outlineLevel="0" collapsed="false">
      <c r="A47" s="20" t="s">
        <v>273</v>
      </c>
      <c r="B47" s="20" t="s">
        <v>353</v>
      </c>
      <c r="C47" s="20" t="s">
        <v>354</v>
      </c>
      <c r="D47" s="20" t="s">
        <v>274</v>
      </c>
      <c r="E47" s="20" t="s">
        <v>275</v>
      </c>
      <c r="F47" s="20" t="s">
        <v>27</v>
      </c>
      <c r="G47" s="21" t="s">
        <v>57</v>
      </c>
      <c r="H47" s="21" t="s">
        <v>276</v>
      </c>
      <c r="I47" s="21" t="s">
        <v>73</v>
      </c>
      <c r="J47" s="21" t="s">
        <v>277</v>
      </c>
      <c r="K47" s="21" t="s">
        <v>98</v>
      </c>
      <c r="L47" s="21" t="s">
        <v>178</v>
      </c>
      <c r="M47" s="21" t="s">
        <v>104</v>
      </c>
      <c r="N47" s="21" t="s">
        <v>278</v>
      </c>
      <c r="O47" s="21" t="s">
        <v>126</v>
      </c>
      <c r="P47" s="21" t="s">
        <v>279</v>
      </c>
      <c r="Q47" s="21" t="s">
        <v>153</v>
      </c>
      <c r="R47" s="21" t="s">
        <v>178</v>
      </c>
      <c r="S47" s="21" t="s">
        <v>280</v>
      </c>
      <c r="T47" s="21" t="s">
        <v>182</v>
      </c>
      <c r="U47" s="21" t="s">
        <v>355</v>
      </c>
    </row>
    <row r="48" customFormat="false" ht="57.45" hidden="false" customHeight="false" outlineLevel="0" collapsed="false">
      <c r="A48" s="20" t="s">
        <v>282</v>
      </c>
      <c r="B48" s="20" t="s">
        <v>353</v>
      </c>
      <c r="C48" s="20" t="s">
        <v>354</v>
      </c>
      <c r="D48" s="20" t="s">
        <v>274</v>
      </c>
      <c r="E48" s="20" t="s">
        <v>283</v>
      </c>
      <c r="F48" s="20" t="s">
        <v>27</v>
      </c>
      <c r="G48" s="21" t="s">
        <v>57</v>
      </c>
      <c r="H48" s="21" t="s">
        <v>284</v>
      </c>
      <c r="I48" s="21" t="s">
        <v>73</v>
      </c>
      <c r="J48" s="21" t="s">
        <v>285</v>
      </c>
      <c r="K48" s="21" t="s">
        <v>98</v>
      </c>
      <c r="L48" s="21" t="s">
        <v>178</v>
      </c>
      <c r="M48" s="21" t="s">
        <v>104</v>
      </c>
      <c r="N48" s="21" t="s">
        <v>278</v>
      </c>
      <c r="O48" s="21" t="s">
        <v>126</v>
      </c>
      <c r="P48" s="21" t="s">
        <v>279</v>
      </c>
      <c r="Q48" s="21" t="s">
        <v>153</v>
      </c>
      <c r="R48" s="21" t="s">
        <v>178</v>
      </c>
      <c r="S48" s="21" t="s">
        <v>286</v>
      </c>
      <c r="T48" s="21" t="s">
        <v>182</v>
      </c>
      <c r="U48" s="21" t="s">
        <v>355</v>
      </c>
    </row>
    <row r="49" customFormat="false" ht="57.45" hidden="false" customHeight="false" outlineLevel="0" collapsed="false">
      <c r="A49" s="20" t="s">
        <v>288</v>
      </c>
      <c r="B49" s="20" t="s">
        <v>353</v>
      </c>
      <c r="C49" s="20" t="s">
        <v>354</v>
      </c>
      <c r="D49" s="20" t="s">
        <v>274</v>
      </c>
      <c r="E49" s="20" t="s">
        <v>289</v>
      </c>
      <c r="F49" s="20" t="s">
        <v>30</v>
      </c>
      <c r="G49" s="21" t="s">
        <v>57</v>
      </c>
      <c r="H49" s="21" t="s">
        <v>290</v>
      </c>
      <c r="I49" s="21" t="s">
        <v>73</v>
      </c>
      <c r="J49" s="21" t="s">
        <v>291</v>
      </c>
      <c r="K49" s="21" t="s">
        <v>98</v>
      </c>
      <c r="L49" s="21" t="s">
        <v>178</v>
      </c>
      <c r="M49" s="21" t="s">
        <v>104</v>
      </c>
      <c r="N49" s="21" t="s">
        <v>278</v>
      </c>
      <c r="O49" s="21" t="s">
        <v>126</v>
      </c>
      <c r="P49" s="21" t="s">
        <v>279</v>
      </c>
      <c r="Q49" s="21" t="s">
        <v>153</v>
      </c>
      <c r="R49" s="21" t="s">
        <v>178</v>
      </c>
      <c r="S49" s="21" t="s">
        <v>286</v>
      </c>
      <c r="T49" s="21" t="s">
        <v>182</v>
      </c>
      <c r="U49" s="21" t="s">
        <v>355</v>
      </c>
    </row>
  </sheetData>
  <autoFilter ref="A1:U49"/>
  <dataValidations count="2">
    <dataValidation allowBlank="true" error="Pilih kode dari daftar. Arti setiap kode ada di sheet Kamus_Kode." errorStyle="stop" errorTitle="Kode tidak terdaftar" operator="between" prompt="Terverifikasi bila halaman sudah dicek langsung. Perkiraan bila belum pasti." promptTitle="Status Rujukan" showDropDown="false" showErrorMessage="true" showInputMessage="true" sqref="T2:T49" type="list">
      <formula1>"Terverifikasi,Perkiraan"</formula1>
      <formula2>0</formula2>
    </dataValidation>
    <dataValidation allowBlank="true" error="Pilih kode dari daftar. Arti setiap kode ada di sheet Kamus_Kode." errorStyle="stop" errorTitle="Kode tidak terdaftar" operator="between" prompt="P1 untuk pengodean pertama. Final hanya untuk baris hasil kesepakatan." promptTitle="Putaran" showDropDown="false" showErrorMessage="true" showInputMessage="true" sqref="B2:B49" type="list">
      <formula1>"P1,P2,Final"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8.6328125" defaultRowHeight="14.25" zeroHeight="false" outlineLevelRow="0" outlineLevelCol="0"/>
  <cols>
    <col collapsed="false" customWidth="true" hidden="false" outlineLevel="0" max="1" min="1" style="0" width="38"/>
    <col collapsed="false" customWidth="true" hidden="false" outlineLevel="0" max="2" min="2" style="0" width="20"/>
    <col collapsed="false" customWidth="true" hidden="false" outlineLevel="0" max="3" min="3" style="0" width="16"/>
    <col collapsed="false" customWidth="true" hidden="false" outlineLevel="0" max="4" min="4" style="0" width="18"/>
  </cols>
  <sheetData>
    <row r="1" customFormat="false" ht="15" hidden="false" customHeight="true" outlineLevel="0" collapsed="false">
      <c r="A1" s="22" t="s">
        <v>20</v>
      </c>
      <c r="B1" s="19" t="s">
        <v>359</v>
      </c>
      <c r="C1" s="19" t="s">
        <v>360</v>
      </c>
      <c r="D1" s="19" t="s">
        <v>361</v>
      </c>
    </row>
    <row r="2" customFormat="false" ht="15" hidden="false" customHeight="true" outlineLevel="0" collapsed="false">
      <c r="A2" s="23" t="s">
        <v>40</v>
      </c>
      <c r="B2" s="24" t="n">
        <f aca="false">IF(COUNTA(Lembar_Pengodean!G2:G17)+COUNTA(Lembar_Pengodean!G18:G33)&lt;32,"",SUMPRODUCT(--(Lembar_Pengodean!G2:G17=Lembar_Pengodean!G18:G33))/16)</f>
        <v>0.9375</v>
      </c>
      <c r="C2" s="25" t="n">
        <f aca="false" t="array" ref="C2:C2">IF(COUNTA(Lembar_Pengodean!G2:G17)+COUNTA(Lembar_Pengodean!G18:G33)&lt;32,"",IF(SUMPRODUCT(COUNTIF(Lembar_Pengodean!G2:G17,Kamus_Kode!$C$10:$C$16),COUNTIF(Lembar_Pengodean!G18:G33,Kamus_Kode!$C$10:$C$16))/256=1,"",(B2-SUMPRODUCT(COUNTIF(Lembar_Pengodean!G2:G17,Kamus_Kode!$C$10:$C$16),COUNTIF(Lembar_Pengodean!G18:G33,Kamus_Kode!$C$10:$C$16))/256)/(1-SUMPRODUCT(COUNTIF(Lembar_Pengodean!G2:G17,Kamus_Kode!$C$10:$C$16),COUNTIF(Lembar_Pengodean!G18:G33,Kamus_Kode!$C$10:$C$16))/256)))</f>
        <v>0.863247863247863</v>
      </c>
      <c r="D2" s="26" t="str">
        <f aca="false">IF(C2="","",IF(C2&gt;0.6,"Masuk ambang","Di bawah ambang"))</f>
        <v>Masuk ambang</v>
      </c>
    </row>
    <row r="3" customFormat="false" ht="15" hidden="false" customHeight="true" outlineLevel="0" collapsed="false">
      <c r="A3" s="23" t="s">
        <v>65</v>
      </c>
      <c r="B3" s="24" t="n">
        <f aca="false">IF(COUNTA(Lembar_Pengodean!I2:I17)+COUNTA(Lembar_Pengodean!I18:I33)&lt;32,"",SUMPRODUCT(--(Lembar_Pengodean!I2:I17=Lembar_Pengodean!I18:I33))/16)</f>
        <v>1</v>
      </c>
      <c r="C3" s="25" t="n">
        <f aca="false">IF(COUNTA(Lembar_Pengodean!I2:I17)+COUNTA(Lembar_Pengodean!I18:I33)&lt;32,"",IF(SUMPRODUCT(COUNTIF(Lembar_Pengodean!I2:I17,Kamus_Kode!$C$19:$C$21),COUNTIF(Lembar_Pengodean!I18:I33,Kamus_Kode!$C$19:$C$21))/256=1,"",(B3-SUMPRODUCT(COUNTIF(Lembar_Pengodean!I2:I17,Kamus_Kode!$C$19:$C$21),COUNTIF(Lembar_Pengodean!I18:I33,Kamus_Kode!$C$19:$C$21))/256)/(1-SUMPRODUCT(COUNTIF(Lembar_Pengodean!I2:I17,Kamus_Kode!$C$19:$C$21),COUNTIF(Lembar_Pengodean!I18:I33,Kamus_Kode!$C$19:$C$21))/256)))</f>
        <v>1</v>
      </c>
      <c r="D3" s="26" t="str">
        <f aca="false">IF(C3="","",IF(C3&gt;0.6,"Masuk ambang","Di bawah ambang"))</f>
        <v>Masuk ambang</v>
      </c>
    </row>
    <row r="4" customFormat="false" ht="15" hidden="false" customHeight="true" outlineLevel="0" collapsed="false">
      <c r="A4" s="23" t="s">
        <v>78</v>
      </c>
      <c r="B4" s="24" t="n">
        <f aca="false">IF(COUNTA(Lembar_Pengodean!K2:K17)+COUNTA(Lembar_Pengodean!K18:K33)&lt;32,"",SUMPRODUCT(--(Lembar_Pengodean!K2:K17=Lembar_Pengodean!K18:K33))/16)</f>
        <v>1</v>
      </c>
      <c r="C4" s="25" t="n">
        <f aca="false">IF(COUNTA(Lembar_Pengodean!K2:K17)+COUNTA(Lembar_Pengodean!K18:K33)&lt;32,"",IF(SUMPRODUCT(COUNTIF(Lembar_Pengodean!K2:K17,Kamus_Kode!$C$24:$C$30),COUNTIF(Lembar_Pengodean!K18:K33,Kamus_Kode!$C$24:$C$30))/256=1,"",(B4-SUMPRODUCT(COUNTIF(Lembar_Pengodean!K2:K17,Kamus_Kode!$C$24:$C$30),COUNTIF(Lembar_Pengodean!K18:K33,Kamus_Kode!$C$24:$C$30))/256)/(1-SUMPRODUCT(COUNTIF(Lembar_Pengodean!K2:K17,Kamus_Kode!$C$24:$C$30),COUNTIF(Lembar_Pengodean!K18:K33,Kamus_Kode!$C$24:$C$30))/256)))</f>
        <v>1</v>
      </c>
      <c r="D4" s="26" t="str">
        <f aca="false">IF(C4="","",IF(C4&gt;0.6,"Masuk ambang","Di bawah ambang"))</f>
        <v>Masuk ambang</v>
      </c>
    </row>
    <row r="5" customFormat="false" ht="15" hidden="false" customHeight="true" outlineLevel="0" collapsed="false">
      <c r="A5" s="23" t="s">
        <v>102</v>
      </c>
      <c r="B5" s="24" t="n">
        <f aca="false">IF(COUNTA(Lembar_Pengodean!M2:M17)+COUNTA(Lembar_Pengodean!M18:M33)&lt;32,"",SUMPRODUCT(--(Lembar_Pengodean!M2:M17=Lembar_Pengodean!M18:M33))/16)</f>
        <v>1</v>
      </c>
      <c r="C5" s="25" t="n">
        <f aca="false">IF(COUNTA(Lembar_Pengodean!M2:M17)+COUNTA(Lembar_Pengodean!M18:M33)&lt;32,"",IF(SUMPRODUCT(COUNTIF(Lembar_Pengodean!M2:M17,Kamus_Kode!$C$33:$C$37),COUNTIF(Lembar_Pengodean!M18:M33,Kamus_Kode!$C$33:$C$37))/256=1,"",(B5-SUMPRODUCT(COUNTIF(Lembar_Pengodean!M2:M17,Kamus_Kode!$C$33:$C$37),COUNTIF(Lembar_Pengodean!M18:M33,Kamus_Kode!$C$33:$C$37))/256)/(1-SUMPRODUCT(COUNTIF(Lembar_Pengodean!M2:M17,Kamus_Kode!$C$33:$C$37),COUNTIF(Lembar_Pengodean!M18:M33,Kamus_Kode!$C$33:$C$37))/256)))</f>
        <v>1</v>
      </c>
      <c r="D5" s="26" t="str">
        <f aca="false">IF(C5="","",IF(C5&gt;0.6,"Masuk ambang","Di bawah ambang"))</f>
        <v>Masuk ambang</v>
      </c>
    </row>
    <row r="6" customFormat="false" ht="15" hidden="false" customHeight="true" outlineLevel="0" collapsed="false">
      <c r="A6" s="23" t="s">
        <v>121</v>
      </c>
      <c r="B6" s="24" t="n">
        <f aca="false">IF(COUNTA(Lembar_Pengodean!O2:O17)+COUNTA(Lembar_Pengodean!O18:O33)&lt;32,"",SUMPRODUCT(--(Lembar_Pengodean!O2:O17=Lembar_Pengodean!O18:O33))/16)</f>
        <v>1</v>
      </c>
      <c r="C6" s="25" t="n">
        <f aca="false">IF(COUNTA(Lembar_Pengodean!O2:O17)+COUNTA(Lembar_Pengodean!O18:O33)&lt;32,"",IF(SUMPRODUCT(COUNTIF(Lembar_Pengodean!O2:O17,Kamus_Kode!$C$40:$C$46),COUNTIF(Lembar_Pengodean!O18:O33,Kamus_Kode!$C$40:$C$46))/256=1,"",(B6-SUMPRODUCT(COUNTIF(Lembar_Pengodean!O2:O17,Kamus_Kode!$C$40:$C$46),COUNTIF(Lembar_Pengodean!O18:O33,Kamus_Kode!$C$40:$C$46))/256)/(1-SUMPRODUCT(COUNTIF(Lembar_Pengodean!O2:O17,Kamus_Kode!$C$40:$C$46),COUNTIF(Lembar_Pengodean!O18:O33,Kamus_Kode!$C$40:$C$46))/256)))</f>
        <v>1</v>
      </c>
      <c r="D6" s="26" t="str">
        <f aca="false">IF(C6="","",IF(C6&gt;0.6,"Masuk ambang","Di bawah ambang"))</f>
        <v>Masuk ambang</v>
      </c>
    </row>
    <row r="7" customFormat="false" ht="15" hidden="false" customHeight="true" outlineLevel="0" collapsed="false">
      <c r="A7" s="23" t="s">
        <v>145</v>
      </c>
      <c r="B7" s="24" t="n">
        <f aca="false">IF(COUNTA(Lembar_Pengodean!Q2:Q17)+COUNTA(Lembar_Pengodean!Q18:Q33)&lt;32,"",SUMPRODUCT(--(Lembar_Pengodean!Q2:Q17=Lembar_Pengodean!Q18:Q33))/16)</f>
        <v>1</v>
      </c>
      <c r="C7" s="25" t="n">
        <f aca="false">IF(COUNTA(Lembar_Pengodean!Q2:Q17)+COUNTA(Lembar_Pengodean!Q18:Q33)&lt;32,"",IF(SUMPRODUCT(COUNTIF(Lembar_Pengodean!Q2:Q17,Kamus_Kode!$C$49:$C$51),COUNTIF(Lembar_Pengodean!Q18:Q33,Kamus_Kode!$C$49:$C$51))/256=1,"",(B7-SUMPRODUCT(COUNTIF(Lembar_Pengodean!Q2:Q17,Kamus_Kode!$C$49:$C$51),COUNTIF(Lembar_Pengodean!Q18:Q33,Kamus_Kode!$C$49:$C$51))/256)/(1-SUMPRODUCT(COUNTIF(Lembar_Pengodean!Q2:Q17,Kamus_Kode!$C$49:$C$51),COUNTIF(Lembar_Pengodean!Q18:Q33,Kamus_Kode!$C$49:$C$51))/256)))</f>
        <v>1</v>
      </c>
      <c r="D7" s="26" t="str">
        <f aca="false">IF(C7="","",IF(C7&gt;0.6,"Masuk ambang","Di bawah ambang"))</f>
        <v>Masuk ambang</v>
      </c>
    </row>
    <row r="8" customFormat="false" ht="15" hidden="false" customHeight="true" outlineLevel="0" collapsed="false">
      <c r="A8" s="27"/>
      <c r="B8" s="27"/>
      <c r="C8" s="27"/>
      <c r="D8" s="27"/>
    </row>
    <row r="9" customFormat="false" ht="15" hidden="false" customHeight="true" outlineLevel="0" collapsed="false">
      <c r="A9" s="28" t="s">
        <v>362</v>
      </c>
      <c r="B9" s="26"/>
      <c r="C9" s="29" t="n">
        <f aca="false">IF(COUNT(C2:C7)&lt;6,"",MEDIAN(C2:C7))</f>
        <v>1</v>
      </c>
      <c r="D9" s="30" t="s">
        <v>363</v>
      </c>
    </row>
    <row r="10" customFormat="false" ht="15" hidden="false" customHeight="true" outlineLevel="0" collapsed="false">
      <c r="A10" s="28" t="s">
        <v>364</v>
      </c>
      <c r="B10" s="26"/>
      <c r="C10" s="29" t="n">
        <f aca="false">IF(COUNT(C2:C7)&lt;6,"",MIN(C2:C7))</f>
        <v>0.863247863247863</v>
      </c>
      <c r="D10" s="30" t="s">
        <v>365</v>
      </c>
    </row>
    <row r="11" customFormat="false" ht="15" hidden="false" customHeight="true" outlineLevel="0" collapsed="false">
      <c r="A11" s="28" t="s">
        <v>366</v>
      </c>
      <c r="B11" s="26"/>
      <c r="C11" s="30" t="str">
        <f aca="false">IF(OR(C9="",C10=""),"",IF(AND(C9&gt;0.7,C10&gt;0.6),"LOLOS","TIDAK LOLOS"))</f>
        <v>LOLOS</v>
      </c>
      <c r="D11" s="26"/>
    </row>
    <row r="12" customFormat="false" ht="15" hidden="false" customHeight="true" outlineLevel="0" collapsed="false">
      <c r="A12" s="27"/>
      <c r="B12" s="27"/>
      <c r="C12" s="27"/>
      <c r="D12" s="27"/>
    </row>
    <row r="13" customFormat="false" ht="30" hidden="false" customHeight="true" outlineLevel="0" collapsed="false">
      <c r="A13" s="31" t="s">
        <v>367</v>
      </c>
      <c r="B13" s="31"/>
      <c r="C13" s="31"/>
      <c r="D13" s="31"/>
    </row>
    <row r="14" customFormat="false" ht="30" hidden="false" customHeight="true" outlineLevel="0" collapsed="false">
      <c r="A14" s="31" t="s">
        <v>368</v>
      </c>
      <c r="B14" s="31"/>
      <c r="C14" s="31"/>
      <c r="D14" s="31"/>
    </row>
    <row r="15" customFormat="false" ht="30" hidden="false" customHeight="true" outlineLevel="0" collapsed="false">
      <c r="A15" s="31" t="s">
        <v>369</v>
      </c>
      <c r="B15" s="31"/>
      <c r="C15" s="31"/>
      <c r="D15" s="31"/>
    </row>
    <row r="16" customFormat="false" ht="30" hidden="false" customHeight="true" outlineLevel="0" collapsed="false">
      <c r="A16" s="31" t="s">
        <v>370</v>
      </c>
      <c r="B16" s="31"/>
      <c r="C16" s="31"/>
      <c r="D16" s="31"/>
    </row>
    <row r="17" customFormat="false" ht="15" hidden="false" customHeight="true" outlineLevel="0" collapsed="false">
      <c r="A17" s="27"/>
      <c r="B17" s="27"/>
      <c r="C17" s="27"/>
      <c r="D17" s="27"/>
    </row>
    <row r="18" customFormat="false" ht="15" hidden="false" customHeight="true" outlineLevel="0" collapsed="false">
      <c r="A18" s="27"/>
      <c r="B18" s="27"/>
      <c r="C18" s="27"/>
      <c r="D18" s="27"/>
    </row>
    <row r="19" customFormat="false" ht="15" hidden="false" customHeight="true" outlineLevel="0" collapsed="false">
      <c r="A19" s="27"/>
      <c r="B19" s="27"/>
      <c r="C19" s="27"/>
      <c r="D19" s="27"/>
    </row>
    <row r="20" customFormat="false" ht="15" hidden="false" customHeight="true" outlineLevel="0" collapsed="false">
      <c r="A20" s="27"/>
      <c r="B20" s="27"/>
      <c r="C20" s="27"/>
      <c r="D20" s="27"/>
    </row>
  </sheetData>
  <mergeCells count="4">
    <mergeCell ref="A13:D13"/>
    <mergeCell ref="A14:D14"/>
    <mergeCell ref="A15:D15"/>
    <mergeCell ref="A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2026-09-09T15:16:02Z</dcterms:created>
  <dc:creator>Farhat Hidayat</dc:creator>
  <dc:description/>
  <dc:language>en-US</dc:language>
  <cp:lastModifiedBy>Farhat Hidayat</cp:lastModifiedBy>
  <dcterms:modified xsi:type="dcterms:W3CDTF">2026-10-26T13:35:49Z</dcterms:modified>
  <cp:revision>0</cp:revision>
  <dc:subject/>
  <dc:title>Lembar Pengodean Definisi Fitur OULAD</dc:title>
</cp:coreProperties>
</file>

<file path=docProps/custom.xml><?xml version="1.0" encoding="utf-8"?>
<Properties xmlns="http://schemas.openxmlformats.org/officeDocument/2006/custom-properties" xmlns:vt="http://schemas.openxmlformats.org/officeDocument/2006/docPropsVTypes"/>
</file>